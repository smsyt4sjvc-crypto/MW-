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0b66c08dc6407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76bb637026234fd2"/>
    <x:sheet xmlns:r="http://schemas.openxmlformats.org/officeDocument/2006/relationships" name="Company Models" sheetId="2" r:id="Ra8ad98f090cb493c"/>
    <x:sheet xmlns:r="http://schemas.openxmlformats.org/officeDocument/2006/relationships" name="Methods" sheetId="3" r:id="R415180b483ba4a4f"/>
    <x:sheet xmlns:r="http://schemas.openxmlformats.org/officeDocument/2006/relationships" name="Token Economics" sheetId="4" r:id="Rad79a6c57b8a471f"/>
    <x:sheet xmlns:r="http://schemas.openxmlformats.org/officeDocument/2006/relationships" name="Benchmarks" sheetId="5" r:id="R27e42596888f4373"/>
    <x:sheet xmlns:r="http://schemas.openxmlformats.org/officeDocument/2006/relationships" name="Sources" sheetId="6" r:id="Re24f3fea3b7d46c0"/>
    <x:sheet xmlns:r="http://schemas.openxmlformats.org/officeDocument/2006/relationships" name="Read Me" sheetId="7" r:id="Rd877d3941326451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$#,##0;[Red]($#,##0);-"/>
    <x:numFmt numFmtId="201" formatCode="0.0x"/>
    <x:numFmt numFmtId="202" formatCode="0.0%"/>
    <x:numFmt numFmtId="203" formatCode="#,##0.0"/>
    <x:numFmt numFmtId="204" formatCode="0.00"/>
    <x:numFmt numFmtId="205" formatCode="$#,##0.0"/>
    <x:numFmt numFmtId="206" formatCode="mm/dd/yy"/>
    <x:numFmt numFmtId="207" formatCode="0.0000"/>
    <x:numFmt numFmtId="208" formatCode="0.00x"/>
    <x:numFmt numFmtId="209" formatCode="$0.0"/>
  </x:numFmts>
  <x:fonts count="8">
    <x:font>
      <x:sz val="11"/>
      <x:name val="Carlito"/>
    </x:font>
    <x:font>
      <x:b/>
      <x:sz val="15"/>
      <x:color rgb="FF172B3A"/>
      <x:name val="Arial"/>
    </x:font>
    <x:font>
      <x:i/>
      <x:sz val="10"/>
      <x:color rgb="FF5B6670"/>
      <x:name val="Arial"/>
    </x:font>
    <x:font>
      <x:b/>
      <x:sz val="10"/>
      <x:color rgb="FFFFFFFF"/>
      <x:name val="Arial"/>
    </x:font>
    <x:font>
      <x:sz val="10"/>
      <x:color rgb="FF1F2933"/>
      <x:name val="Arial"/>
    </x:font>
    <x:font>
      <x:sz val="10"/>
      <x:color rgb="FF0066CC"/>
      <x:name val="Arial"/>
    </x:font>
    <x:font>
      <x:sz val="10"/>
      <x:color rgb="FF000000"/>
      <x:name val="Arial"/>
    </x:font>
    <x:font>
      <x:b/>
      <x:sz val="11"/>
      <x:color rgb="FF17324D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3415C"/>
      </x:patternFill>
    </x:fill>
    <x:fill>
      <x:patternFill patternType="solid">
        <x:fgColor rgb="FFFFF4CC"/>
      </x:patternFill>
    </x:fill>
    <x:fill>
      <x:patternFill patternType="solid">
        <x:fgColor rgb="FFDCEAF5"/>
      </x:patternFill>
    </x:fill>
  </x:fills>
  <x:borders count="6">
    <x:border/>
    <x:border>
      <x:bottom style="thin">
        <x:color rgb="FF23415C"/>
      </x:bottom>
    </x:border>
    <x:border>
      <x:right style="thin">
        <x:color rgb="FFFFFFFF"/>
      </x:right>
      <x:bottom style="medium">
        <x:color rgb="FF23415C"/>
      </x:bottom>
    </x:border>
    <x:border>
      <x:left style="thin">
        <x:color rgb="FFFFFFFF"/>
      </x:left>
      <x:right style="thin">
        <x:color rgb="FFFFFFFF"/>
      </x:right>
      <x:bottom style="medium">
        <x:color rgb="FF23415C"/>
      </x:bottom>
    </x:border>
    <x:border>
      <x:left style="thin">
        <x:color rgb="FFFFFFFF"/>
      </x:left>
      <x:bottom style="medium">
        <x:color rgb="FF23415C"/>
      </x:bottom>
    </x:border>
    <x:border>
      <x:bottom style="thin">
        <x:color rgb="FFD9E1E8"/>
      </x:bottom>
    </x:border>
  </x:borders>
  <x:cellStyleXfs count="1">
    <x:xf numFmtId="0" fontId="0" fillId="0" borderId="0"/>
  </x:cellStyleXfs>
  <x:cellXfs count="63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4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4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5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0" fontId="5" fillId="3" borderId="5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1" fontId="5" fillId="3" borderId="5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3" borderId="5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3" fontId="5" fillId="3" borderId="5" xfId="0" applyNumberFormat="1" applyFont="1" applyFill="1" applyBorder="1" applyAlignment="1">
      <x:alignment vertical="center"/>
    </x:xf>
    <x:xf numFmtId="204" fontId="5" fillId="3" borderId="0" xfId="0" applyNumberFormat="1" applyFont="1" applyFill="1" applyBorder="1" applyAlignment="1">
      <x:alignment vertical="center"/>
    </x:xf>
    <x:xf numFmtId="204" fontId="5" fillId="3" borderId="5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0" fontId="6" fillId="0" borderId="5" xfId="0" applyNumberFormat="1" applyFont="1" applyFill="1" applyBorder="1" applyAlignment="1">
      <x:alignment vertical="center"/>
    </x:xf>
    <x:xf numFmtId="203" fontId="6" fillId="0" borderId="0" xfId="0" applyNumberFormat="1" applyFont="1" applyFill="1" applyBorder="1" applyAlignment="1">
      <x:alignment vertical="center"/>
    </x:xf>
    <x:xf numFmtId="203" fontId="6" fillId="0" borderId="5" xfId="0" applyNumberFormat="1" applyFont="1" applyFill="1" applyBorder="1" applyAlignment="1">
      <x:alignment vertical="center"/>
    </x:xf>
    <x:xf numFmtId="205" fontId="6" fillId="0" borderId="0" xfId="0" applyNumberFormat="1" applyFont="1" applyFill="1" applyBorder="1" applyAlignment="1">
      <x:alignment vertical="center"/>
    </x:xf>
    <x:xf numFmtId="205" fontId="6" fillId="0" borderId="5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206" fontId="4" fillId="0" borderId="0" xfId="0" applyNumberFormat="1" applyFont="1" applyFill="1" applyBorder="1" applyAlignment="1">
      <x:alignment vertical="center"/>
    </x:xf>
    <x:xf numFmtId="206" fontId="4" fillId="0" borderId="5" xfId="0" applyNumberFormat="1" applyFont="1" applyFill="1" applyBorder="1" applyAlignment="1">
      <x:alignment vertical="center"/>
    </x:xf>
    <x:xf numFmtId="207" fontId="4" fillId="0" borderId="0" xfId="0" applyNumberFormat="1" applyFont="1" applyFill="1" applyBorder="1" applyAlignment="1">
      <x:alignment vertical="center"/>
    </x:xf>
    <x:xf numFmtId="207" fontId="4" fillId="0" borderId="5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/>
    <x:xf numFmtId="202" fontId="4" fillId="0" borderId="0" xfId="0" applyNumberFormat="1" applyFont="1" applyFill="1" applyBorder="1"/>
    <x:xf numFmtId="208" fontId="4" fillId="0" borderId="0" xfId="0" applyNumberFormat="1" applyFont="1" applyFill="1" applyBorder="1"/>
    <x:xf numFmtId="202" fontId="5" fillId="0" borderId="0" xfId="0" applyNumberFormat="1" applyFont="1" applyFill="1" applyBorder="1"/>
    <x:xf numFmtId="202" fontId="5" fillId="3" borderId="0" xfId="0" applyNumberFormat="1" applyFont="1" applyFill="1" applyBorder="1"/>
    <x:xf numFmtId="209" fontId="4" fillId="0" borderId="0" xfId="0" applyNumberFormat="1" applyFont="1" applyFill="1" applyBorder="1" applyAlignment="1">
      <x:alignment vertical="center"/>
    </x:xf>
    <x:xf numFmtId="209" fontId="4" fillId="0" borderId="5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  <x:xf numFmtId="205" fontId="4" fillId="0" borderId="0" xfId="0" applyNumberFormat="1" applyFont="1" applyFill="1" applyBorder="1" applyAlignment="1">
      <x:alignment vertical="center"/>
    </x:xf>
    <x:xf numFmtId="205" fontId="4" fillId="0" borderId="5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B42318"/>
      </x:font>
      <x:fill>
        <x:patternFill patternType="solid">
          <x:bgColor rgb="FFFDE8E7"/>
        </x:patternFill>
      </x:fill>
    </x:dxf>
    <x:dxf>
      <x:font>
        <x:b/>
        <x:color rgb="FF176B3A"/>
      </x:font>
      <x:fill>
        <x:patternFill patternType="solid"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b51de92754430f" /><Relationship Type="http://schemas.openxmlformats.org/officeDocument/2006/relationships/theme" Target="/xl/theme/theme1.xml" Id="Rf6db98ceadee4b79" /><Relationship Type="http://schemas.openxmlformats.org/officeDocument/2006/relationships/sharedStrings" Target="/xl/sharedStrings.xml" Id="R7d5450380f264a7c" /><Relationship Type="http://schemas.openxmlformats.org/officeDocument/2006/relationships/worksheet" Target="/xl/worksheets/sheet1.xml" Id="R76bb637026234fd2" /><Relationship Type="http://schemas.openxmlformats.org/officeDocument/2006/relationships/worksheet" Target="/xl/worksheets/sheet2.xml" Id="Ra8ad98f090cb493c" /><Relationship Type="http://schemas.openxmlformats.org/officeDocument/2006/relationships/worksheet" Target="/xl/worksheets/sheet3.xml" Id="R415180b483ba4a4f" /><Relationship Type="http://schemas.openxmlformats.org/officeDocument/2006/relationships/worksheet" Target="/xl/worksheets/sheet4.xml" Id="Rad79a6c57b8a471f" /><Relationship Type="http://schemas.openxmlformats.org/officeDocument/2006/relationships/worksheet" Target="/xl/worksheets/sheet5.xml" Id="R27e42596888f4373" /><Relationship Type="http://schemas.openxmlformats.org/officeDocument/2006/relationships/worksheet" Target="/xl/worksheets/sheet6.xml" Id="Re24f3fea3b7d46c0" /><Relationship Type="http://schemas.openxmlformats.org/officeDocument/2006/relationships/worksheet" Target="/xl/worksheets/sheet7.xml" Id="Rd877d39413264515" /></Relationships>
</file>

<file path=xl/tables/table1.xml><?xml version="1.0" encoding="utf-8"?>
<x:table xmlns:x="http://schemas.openxmlformats.org/spreadsheetml/2006/main" id="1" name="CompanyMethodsTable" displayName="CompanyMethodsTable" ref="A4:G19" headerRowCount="1" totalsRowCount="0" totalsRowShown="0">
  <x:tableColumns count="7">
    <x:tableColumn id="1" name="Method ID"/>
    <x:tableColumn id="2" name="Company"/>
    <x:tableColumn id="3" name="Role"/>
    <x:tableColumn id="4" name="Numerator"/>
    <x:tableColumn id="5" name="Denominator"/>
    <x:tableColumn id="6" name="Unique adjustment"/>
    <x:tableColumn id="7" name="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okenEconomicsTable" displayName="TokenEconomicsTable" ref="A4:I20" headerRowCount="1" totalsRowCount="0" totalsRowShown="0">
  <x:tableColumns count="9">
    <x:tableColumn id="1" name="Date"/>
    <x:tableColumn id="2" name="Dataset"/>
    <x:tableColumn id="3" name="Metric"/>
    <x:tableColumn id="4" name="Value"/>
    <x:tableColumn id="5" name="Unit"/>
    <x:tableColumn id="6" name="Window"/>
    <x:tableColumn id="7" name="Source ID"/>
    <x:tableColumn id="8" name="Evidence state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RegisterTable" displayName="SourceRegisterTable" ref="A4:I84" headerRowCount="1" totalsRowCount="0" totalsRowShown="0">
  <x:tableColumns count="9">
    <x:tableColumn id="1" name="Source ID"/>
    <x:tableColumn id="2" name="Date"/>
    <x:tableColumn id="3" name="Publisher"/>
    <x:tableColumn id="4" name="Title"/>
    <x:tableColumn id="5" name="Artifact type"/>
    <x:tableColumn id="6" name="Url"/>
    <x:tableColumn id="7" name="Supports"/>
    <x:tableColumn id="8" name="Status"/>
    <x:tableColumn id="9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1c6a903f4b0e4e0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0714630b43aa4ee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bde42e9552cf4c93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52" hidden="0" customWidth="1"/>
    <x:col min="2" max="2" width="24" hidden="0" customWidth="1"/>
    <x:col min="3" max="3" width="18" hidden="0" customWidth="1"/>
    <x:col min="4" max="4" width="35" hidden="0" customWidth="1"/>
    <x:col min="5" max="5" width="14" hidden="0" customWidth="1"/>
    <x:col min="6" max="6" width="14" hidden="0" customWidth="1"/>
    <x:col min="7" max="7" width="24" hidden="0" customWidth="1"/>
    <x:col min="8" max="8" width="42" hidden="0" customWidth="1"/>
  </x:cols>
  <x:sheetData>
    <x:row r="2">
      <x:c r="A2" s="2" t="str">
        <x:v>AI compute economics</x:v>
      </x:c>
      <x:c r="B2" s="1"/>
      <x:c r="C2" s="1"/>
      <x:c r="D2" s="1"/>
      <x:c r="E2" s="1"/>
      <x:c r="F2" s="1"/>
      <x:c r="G2" s="1"/>
      <x:c r="H2" s="1"/>
    </x:row>
    <x:row r="3">
      <x:c r="A3" s="3" t="str">
        <x:v>Revenue manufactured per effective utilized IT MW, with token monetization and capex context.</x:v>
      </x:c>
      <x:c r="B3" s="3"/>
      <x:c r="C3" s="3"/>
      <x:c r="D3" s="3"/>
      <x:c r="E3" s="3"/>
      <x:c r="F3" s="3"/>
      <x:c r="G3" s="3"/>
      <x:c r="H3" s="3"/>
    </x:row>
    <x:row r="5" ht="32" customHeight="1">
      <x:c r="A5" s="15" t="str">
        <x:v>Current measures</x:v>
      </x:c>
      <x:c r="B5" s="17" t="str">
        <x:v>Value</x:v>
      </x:c>
      <x:c r="D5" s="15" t="str">
        <x:v>Benchmark</x:v>
      </x:c>
      <x:c r="E5" s="16" t="str">
        <x:v>Low</x:v>
      </x:c>
      <x:c r="F5" s="16" t="str">
        <x:v>High</x:v>
      </x:c>
      <x:c r="G5" s="16" t="str">
        <x:v>Class</x:v>
      </x:c>
      <x:c r="H5" s="17" t="str">
        <x:v>Question</x:v>
      </x:c>
    </x:row>
    <x:row r="6">
      <x:c r="A6" s="19" t="str">
        <x:v>Companies configured</x:v>
      </x:c>
      <x:c r="B6" s="19" t="n">
        <x:v>15</x:v>
      </x:c>
      <x:c r="D6" s="19" t="str">
        <x:v>Spot compute revenue ($B / IT GW-year)</x:v>
      </x:c>
      <x:c r="E6" s="54" t="n">
        <x:v>10</x:v>
      </x:c>
      <x:c r="F6" s="54" t="n">
        <x:v>12</x:v>
      </x:c>
      <x:c r="G6" s="19" t="str">
        <x:v>Merchant</x:v>
      </x:c>
      <x:c r="H6" s="19" t="str">
        <x:v>Does utilization or price weaken?</x:v>
      </x:c>
    </x:row>
    <x:row r="7">
      <x:c r="A7" s="19" t="str">
        <x:v>Operator outputs calculated</x:v>
      </x:c>
      <x:c r="B7" s="19" t="n">
        <x:f>COUNT('Company Models'!S5:S19)</x:f>
        <x:v>1</x:v>
      </x:c>
      <x:c r="D7" s="19" t="str">
        <x:v>Acceptability line</x:v>
      </x:c>
      <x:c r="E7" s="54" t="n">
        <x:v>15</x:v>
      </x:c>
      <x:c r="F7" s="54" t="n">
        <x:v>15</x:v>
      </x:c>
      <x:c r="G7" s="19" t="str">
        <x:v>External threshold</x:v>
      </x:c>
      <x:c r="H7" s="19" t="str">
        <x:v>Derivation remains open</x:v>
      </x:c>
    </x:row>
    <x:row r="8">
      <x:c r="A8" s="19" t="str">
        <x:v>Nscale contracted revenue ($M / effective MW-year)</x:v>
      </x:c>
      <x:c r="B8" s="58" t="n">
        <x:f>'Company Models'!S13</x:f>
        <x:v>16.304347826086957</x:v>
      </x:c>
      <x:c r="D8" s="19" t="str">
        <x:v>Nscale / Anthropic</x:v>
      </x:c>
      <x:c r="E8" s="54" t="n">
        <x:v>16.3</x:v>
      </x:c>
      <x:c r="F8" s="54" t="n">
        <x:v>16.3</x:v>
      </x:c>
      <x:c r="G8" s="19" t="str">
        <x:v>Contracted</x:v>
      </x:c>
      <x:c r="H8" s="19" t="str">
        <x:v>Does the offtake premium persist?</x:v>
      </x:c>
    </x:row>
    <x:row r="9">
      <x:c r="A9" s="20" t="str">
        <x:v>July Jevons result</x:v>
      </x:c>
      <x:c r="B9" s="20" t="str">
        <x:f>'Token Economics'!L10</x:f>
        <x:v>Jevons absorption</x:v>
      </x:c>
      <x:c r="D9" s="20" t="str">
        <x:v>Healthy long-term case</x:v>
      </x:c>
      <x:c r="E9" s="55" t="n">
        <x:v>25</x:v>
      </x:c>
      <x:c r="F9" s="55" t="n">
        <x:v>25</x:v>
      </x:c>
      <x:c r="G9" s="20" t="str">
        <x:v>Aspirational</x:v>
      </x:c>
      <x:c r="H9" s="20" t="str">
        <x:v>Can Rubin lift operator revenue/GW?</x:v>
      </x:c>
    </x:row>
    <x:row r="12" ht="32" customHeight="1">
      <x:c r="A12" s="15" t="str">
        <x:v>Company</x:v>
      </x:c>
      <x:c r="B12" s="16" t="str">
        <x:v>Method</x:v>
      </x:c>
      <x:c r="C12" s="16" t="str">
        <x:v>Role</x:v>
      </x:c>
      <x:c r="D12" s="16" t="str">
        <x:v>Input status</x:v>
      </x:c>
      <x:c r="E12" s="16" t="str">
        <x:v>Revenue $M / effective MW-year</x:v>
      </x:c>
      <x:c r="F12" s="17" t="str">
        <x:v>Calculation status</x:v>
      </x:c>
    </x:row>
    <x:row r="13">
      <x:c r="A13" s="19" t="str">
        <x:f>'Company Models'!A5</x:f>
        <x:v>Microsoft Azure</x:v>
      </x:c>
      <x:c r="B13" s="19" t="str">
        <x:f>'Company Models'!B5</x:f>
        <x:v>SEGMENT-AZURE</x:v>
      </x:c>
      <x:c r="C13" s="19" t="str">
        <x:f>IFERROR(INDEX(Methods!$C$5:$C$19,MATCH(B13,Methods!$A$5:$A$19,0)),"")</x:f>
        <x:v>Hyperscaler</x:v>
      </x:c>
      <x:c r="D13" s="19" t="str">
        <x:f>'Company Models'!N5</x:f>
        <x:v>PARTIAL</x:v>
      </x:c>
      <x:c r="E13" s="58" t="str">
        <x:f>IF('Company Models'!S5="","",'Company Models'!S5)</x:f>
      </x:c>
      <x:c r="F13" s="19" t="str">
        <x:f>'Company Models'!T5</x:f>
        <x:v>Missing numerator or denominator</x:v>
      </x:c>
    </x:row>
    <x:row r="14">
      <x:c r="A14" s="19" t="str">
        <x:f>'Company Models'!A6</x:f>
        <x:v>Amazon AWS</x:v>
      </x:c>
      <x:c r="B14" s="19" t="str">
        <x:f>'Company Models'!B6</x:f>
        <x:v>SEGMENT-AWS</x:v>
      </x:c>
      <x:c r="C14" s="19" t="str">
        <x:f>IFERROR(INDEX(Methods!$C$5:$C$19,MATCH(B14,Methods!$A$5:$A$19,0)),"")</x:f>
        <x:v>Hyperscaler</x:v>
      </x:c>
      <x:c r="D14" s="19" t="str">
        <x:f>'Company Models'!N6</x:f>
        <x:v>OPEN</x:v>
      </x:c>
      <x:c r="E14" s="58" t="str">
        <x:f>IF('Company Models'!S6="","",'Company Models'!S6)</x:f>
      </x:c>
      <x:c r="F14" s="19" t="str">
        <x:f>'Company Models'!T6</x:f>
        <x:v>Missing numerator or denominator</x:v>
      </x:c>
    </x:row>
    <x:row r="15">
      <x:c r="A15" s="19" t="str">
        <x:f>'Company Models'!A7</x:f>
        <x:v>Alphabet Google Cloud</x:v>
      </x:c>
      <x:c r="B15" s="19" t="str">
        <x:f>'Company Models'!B7</x:f>
        <x:v>SEGMENT-GCP</x:v>
      </x:c>
      <x:c r="C15" s="19" t="str">
        <x:f>IFERROR(INDEX(Methods!$C$5:$C$19,MATCH(B15,Methods!$A$5:$A$19,0)),"")</x:f>
        <x:v>Hyperscaler</x:v>
      </x:c>
      <x:c r="D15" s="19" t="str">
        <x:f>'Company Models'!N7</x:f>
        <x:v>OPEN</x:v>
      </x:c>
      <x:c r="E15" s="58" t="str">
        <x:f>IF('Company Models'!S7="","",'Company Models'!S7)</x:f>
      </x:c>
      <x:c r="F15" s="19" t="str">
        <x:f>'Company Models'!T7</x:f>
        <x:v>Missing numerator or denominator</x:v>
      </x:c>
    </x:row>
    <x:row r="16">
      <x:c r="A16" s="19" t="str">
        <x:f>'Company Models'!A8</x:f>
        <x:v>Meta</x:v>
      </x:c>
      <x:c r="B16" s="19" t="str">
        <x:f>'Company Models'!B8</x:f>
        <x:v>INTERNAL-META</x:v>
      </x:c>
      <x:c r="C16" s="19" t="str">
        <x:f>IFERROR(INDEX(Methods!$C$5:$C$19,MATCH(B16,Methods!$A$5:$A$19,0)),"")</x:f>
        <x:v>Internal compute</x:v>
      </x:c>
      <x:c r="D16" s="19" t="str">
        <x:f>'Company Models'!N8</x:f>
        <x:v>OPEN</x:v>
      </x:c>
      <x:c r="E16" s="58" t="str">
        <x:f>IF('Company Models'!S8="","",'Company Models'!S8)</x:f>
      </x:c>
      <x:c r="F16" s="19" t="str">
        <x:f>'Company Models'!T8</x:f>
        <x:v>Missing numerator or denominator</x:v>
      </x:c>
    </x:row>
    <x:row r="17">
      <x:c r="A17" s="19" t="str">
        <x:f>'Company Models'!A9</x:f>
        <x:v>Oracle OCI</x:v>
      </x:c>
      <x:c r="B17" s="19" t="str">
        <x:f>'Company Models'!B9</x:f>
        <x:v>SEGMENT-OCI</x:v>
      </x:c>
      <x:c r="C17" s="19" t="str">
        <x:f>IFERROR(INDEX(Methods!$C$5:$C$19,MATCH(B17,Methods!$A$5:$A$19,0)),"")</x:f>
        <x:v>Hyperscaler</x:v>
      </x:c>
      <x:c r="D17" s="19" t="str">
        <x:f>'Company Models'!N9</x:f>
        <x:v>PARTIAL</x:v>
      </x:c>
      <x:c r="E17" s="58" t="str">
        <x:f>IF('Company Models'!S9="","",'Company Models'!S9)</x:f>
      </x:c>
      <x:c r="F17" s="19" t="str">
        <x:f>'Company Models'!T9</x:f>
        <x:v>Missing numerator or denominator</x:v>
      </x:c>
    </x:row>
    <x:row r="18">
      <x:c r="A18" s="19" t="str">
        <x:f>'Company Models'!A10</x:f>
        <x:v>CoreWeave</x:v>
      </x:c>
      <x:c r="B18" s="19" t="str">
        <x:f>'Company Models'!B10</x:f>
        <x:v>MERCHANT-CRWV</x:v>
      </x:c>
      <x:c r="C18" s="19" t="str">
        <x:f>IFERROR(INDEX(Methods!$C$5:$C$19,MATCH(B18,Methods!$A$5:$A$19,0)),"")</x:f>
        <x:v>Neocloud</x:v>
      </x:c>
      <x:c r="D18" s="19" t="str">
        <x:f>'Company Models'!N10</x:f>
        <x:v>PARTIAL</x:v>
      </x:c>
      <x:c r="E18" s="58" t="str">
        <x:f>IF('Company Models'!S10="","",'Company Models'!S10)</x:f>
      </x:c>
      <x:c r="F18" s="19" t="str">
        <x:f>'Company Models'!T10</x:f>
        <x:v>Missing numerator or denominator</x:v>
      </x:c>
    </x:row>
    <x:row r="19">
      <x:c r="A19" s="19" t="str">
        <x:f>'Company Models'!A11</x:f>
        <x:v>Nebius</x:v>
      </x:c>
      <x:c r="B19" s="19" t="str">
        <x:f>'Company Models'!B11</x:f>
        <x:v>MERCHANT-NBIS</x:v>
      </x:c>
      <x:c r="C19" s="19" t="str">
        <x:f>IFERROR(INDEX(Methods!$C$5:$C$19,MATCH(B19,Methods!$A$5:$A$19,0)),"")</x:f>
        <x:v>Neocloud</x:v>
      </x:c>
      <x:c r="D19" s="19" t="str">
        <x:f>'Company Models'!N11</x:f>
        <x:v>PARTIAL</x:v>
      </x:c>
      <x:c r="E19" s="58" t="str">
        <x:f>IF('Company Models'!S11="","",'Company Models'!S11)</x:f>
      </x:c>
      <x:c r="F19" s="19" t="str">
        <x:f>'Company Models'!T11</x:f>
        <x:v>Missing numerator or denominator</x:v>
      </x:c>
    </x:row>
    <x:row r="20">
      <x:c r="A20" s="19" t="str">
        <x:f>'Company Models'!A12</x:f>
        <x:v>IREN</x:v>
      </x:c>
      <x:c r="B20" s="19" t="str">
        <x:f>'Company Models'!B12</x:f>
        <x:v>MERCHANT-IREN</x:v>
      </x:c>
      <x:c r="C20" s="19" t="str">
        <x:f>IFERROR(INDEX(Methods!$C$5:$C$19,MATCH(B20,Methods!$A$5:$A$19,0)),"")</x:f>
        <x:v>Neocloud</x:v>
      </x:c>
      <x:c r="D20" s="19" t="str">
        <x:f>'Company Models'!N12</x:f>
        <x:v>PARTIAL</x:v>
      </x:c>
      <x:c r="E20" s="58" t="str">
        <x:f>IF('Company Models'!S12="","",'Company Models'!S12)</x:f>
      </x:c>
      <x:c r="F20" s="19" t="str">
        <x:f>'Company Models'!T12</x:f>
        <x:v>Missing numerator or denominator</x:v>
      </x:c>
    </x:row>
    <x:row r="21">
      <x:c r="A21" s="19" t="str">
        <x:f>'Company Models'!A13</x:f>
        <x:v>Nscale / Anthropic</x:v>
      </x:c>
      <x:c r="B21" s="19" t="str">
        <x:f>'Company Models'!B13</x:f>
        <x:v>CONTRACT-NSCALE</x:v>
      </x:c>
      <x:c r="C21" s="19" t="str">
        <x:f>IFERROR(INDEX(Methods!$C$5:$C$19,MATCH(B21,Methods!$A$5:$A$19,0)),"")</x:f>
        <x:v>Contracted compute</x:v>
      </x:c>
      <x:c r="D21" s="19" t="str">
        <x:f>'Company Models'!N13</x:f>
        <x:v>DERIVED</x:v>
      </x:c>
      <x:c r="E21" s="58" t="n">
        <x:f>IF('Company Models'!S13="","",'Company Models'!S13)</x:f>
        <x:v>16.304347826086957</x:v>
      </x:c>
      <x:c r="F21" s="19" t="str">
        <x:f>'Company Models'!T13</x:f>
        <x:v>Calculated</x:v>
      </x:c>
    </x:row>
    <x:row r="22">
      <x:c r="A22" s="19" t="str">
        <x:f>'Company Models'!A14</x:f>
        <x:v>xAI / SpaceX</x:v>
      </x:c>
      <x:c r="B22" s="19" t="str">
        <x:f>'Company Models'!B14</x:f>
        <x:v>PROJECT-XAI</x:v>
      </x:c>
      <x:c r="C22" s="19" t="str">
        <x:f>IFERROR(INDEX(Methods!$C$5:$C$19,MATCH(B22,Methods!$A$5:$A$19,0)),"")</x:f>
        <x:v>Reference operator</x:v>
      </x:c>
      <x:c r="D22" s="19" t="str">
        <x:f>'Company Models'!N14</x:f>
        <x:v>GUIDANCE ONLY</x:v>
      </x:c>
      <x:c r="E22" s="58" t="str">
        <x:f>IF('Company Models'!S14="","",'Company Models'!S14)</x:f>
      </x:c>
      <x:c r="F22" s="19" t="str">
        <x:f>'Company Models'!T14</x:f>
        <x:v>Missing numerator or denominator</x:v>
      </x:c>
    </x:row>
    <x:row r="23">
      <x:c r="A23" s="19" t="str">
        <x:f>'Company Models'!A15</x:f>
        <x:v>OpenAI / Stargate</x:v>
      </x:c>
      <x:c r="B23" s="19" t="str">
        <x:f>'Company Models'!B15</x:f>
        <x:v>PROJECT-STARGATE</x:v>
      </x:c>
      <x:c r="C23" s="19" t="str">
        <x:f>IFERROR(INDEX(Methods!$C$5:$C$19,MATCH(B23,Methods!$A$5:$A$19,0)),"")</x:f>
        <x:v>Reference project</x:v>
      </x:c>
      <x:c r="D23" s="19" t="str">
        <x:f>'Company Models'!N15</x:f>
        <x:v>CAPEX ONLY</x:v>
      </x:c>
      <x:c r="E23" s="58" t="str">
        <x:f>IF('Company Models'!S15="","",'Company Models'!S15)</x:f>
      </x:c>
      <x:c r="F23" s="19" t="str">
        <x:f>'Company Models'!T15</x:f>
        <x:v>Not an operator output</x:v>
      </x:c>
    </x:row>
    <x:row r="24">
      <x:c r="A24" s="19" t="str">
        <x:f>'Company Models'!A16</x:f>
        <x:v>NVIDIA</x:v>
      </x:c>
      <x:c r="B24" s="19" t="str">
        <x:f>'Company Models'!B16</x:f>
        <x:v>VENDOR-NVDA</x:v>
      </x:c>
      <x:c r="C24" s="19" t="str">
        <x:f>IFERROR(INDEX(Methods!$C$5:$C$19,MATCH(B24,Methods!$A$5:$A$19,0)),"")</x:f>
        <x:v>Silicon vendor</x:v>
      </x:c>
      <x:c r="D24" s="19" t="str">
        <x:f>'Company Models'!N16</x:f>
        <x:v>VENDOR ONLY</x:v>
      </x:c>
      <x:c r="E24" s="58" t="str">
        <x:f>IF('Company Models'!S16="","",'Company Models'!S16)</x:f>
      </x:c>
      <x:c r="F24" s="19" t="str">
        <x:f>'Company Models'!T16</x:f>
        <x:v>Not an operator output</x:v>
      </x:c>
    </x:row>
    <x:row r="25">
      <x:c r="A25" s="19" t="str">
        <x:f>'Company Models'!A17</x:f>
        <x:v>Broadcom</x:v>
      </x:c>
      <x:c r="B25" s="19" t="str">
        <x:f>'Company Models'!B17</x:f>
        <x:v>VENDOR-AVGO</x:v>
      </x:c>
      <x:c r="C25" s="19" t="str">
        <x:f>IFERROR(INDEX(Methods!$C$5:$C$19,MATCH(B25,Methods!$A$5:$A$19,0)),"")</x:f>
        <x:v>Silicon vendor</x:v>
      </x:c>
      <x:c r="D25" s="19" t="str">
        <x:f>'Company Models'!N17</x:f>
        <x:v>VENDOR ONLY</x:v>
      </x:c>
      <x:c r="E25" s="58" t="str">
        <x:f>IF('Company Models'!S17="","",'Company Models'!S17)</x:f>
      </x:c>
      <x:c r="F25" s="19" t="str">
        <x:f>'Company Models'!T17</x:f>
        <x:v>Not an operator output</x:v>
      </x:c>
    </x:row>
    <x:row r="26">
      <x:c r="A26" s="19" t="str">
        <x:f>'Company Models'!A18</x:f>
        <x:v>Bloom Energy</x:v>
      </x:c>
      <x:c r="B26" s="19" t="str">
        <x:f>'Company Models'!B18</x:f>
        <x:v>SUPPLIER-BLOOM</x:v>
      </x:c>
      <x:c r="C26" s="19" t="str">
        <x:f>IFERROR(INDEX(Methods!$C$5:$C$19,MATCH(B26,Methods!$A$5:$A$19,0)),"")</x:f>
        <x:v>Power supplier</x:v>
      </x:c>
      <x:c r="D26" s="19" t="str">
        <x:f>'Company Models'!N18</x:f>
        <x:v>VENDOR ONLY</x:v>
      </x:c>
      <x:c r="E26" s="58" t="str">
        <x:f>IF('Company Models'!S18="","",'Company Models'!S18)</x:f>
      </x:c>
      <x:c r="F26" s="19" t="str">
        <x:f>'Company Models'!T18</x:f>
        <x:v>Not an operator output</x:v>
      </x:c>
    </x:row>
    <x:row r="27">
      <x:c r="A27" s="20" t="str">
        <x:f>'Company Models'!A19</x:f>
        <x:v>Palantir</x:v>
      </x:c>
      <x:c r="B27" s="20" t="str">
        <x:f>'Company Models'!B19</x:f>
        <x:v>SOFTWARE-PLTR</x:v>
      </x:c>
      <x:c r="C27" s="20" t="str">
        <x:f>IFERROR(INDEX(Methods!$C$5:$C$19,MATCH(B27,Methods!$A$5:$A$19,0)),"")</x:f>
        <x:v>Software</x:v>
      </x:c>
      <x:c r="D27" s="20" t="str">
        <x:f>'Company Models'!N19</x:f>
        <x:v>VENDOR ONLY</x:v>
      </x:c>
      <x:c r="E27" s="59" t="str">
        <x:f>IF('Company Models'!S19="","",'Company Models'!S19)</x:f>
      </x:c>
      <x:c r="F27" s="20" t="str">
        <x:f>'Company Models'!T19</x:f>
        <x:v>Not an operator output</x:v>
      </x:c>
    </x:row>
    <x:row r="28">
      <x:c r="A28" s="61" t="str">
        <x:v>Central forward test</x:v>
      </x:c>
      <x:c r="B28" s="61"/>
      <x:c r="C28" s="61"/>
      <x:c r="D28" s="61"/>
      <x:c r="E28" s="61"/>
      <x:c r="F28" s="61"/>
      <x:c r="G28" s="61"/>
      <x:c r="H28" s="61"/>
    </x:row>
    <x:row r="29" ht="68" customHeight="1">
      <x:c r="A29" s="62" t="str">
        <x:v>Rubin raises NVIDIA content per IT-load GW from $25B to $40B, about 60%. Operator revenue/GW must rise comparably to preserve gross-revenue payback. If revenue/GW stays flat again, vendor economics strengthen while operator replacement economics deteriorate.</x:v>
      </x:c>
      <x:c r="B29" s="62"/>
      <x:c r="C29" s="62"/>
      <x:c r="D29" s="62"/>
      <x:c r="E29" s="62"/>
      <x:c r="F29" s="62"/>
      <x:c r="G29" s="62"/>
      <x:c r="H29" s="6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C628F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2" hidden="0" customWidth="1"/>
    <x:col min="2" max="2" width="20" hidden="0" customWidth="1"/>
    <x:col min="3" max="3" width="16" hidden="0" customWidth="1"/>
    <x:col min="4" max="4" width="17" hidden="0" customWidth="1"/>
    <x:col min="5" max="5" width="14" hidden="0" customWidth="1"/>
    <x:col min="6" max="6" width="13" hidden="0" customWidth="1"/>
    <x:col min="7" max="7" width="14" hidden="0" customWidth="1"/>
    <x:col min="8" max="8" width="18" hidden="0" customWidth="1"/>
    <x:col min="9" max="9" width="9" hidden="0" customWidth="1"/>
    <x:col min="10" max="10" width="11" hidden="0" customWidth="1"/>
    <x:col min="11" max="11" width="12" hidden="0" customWidth="1"/>
    <x:col min="12" max="12" width="11" hidden="0" customWidth="1"/>
    <x:col min="13" max="13" width="30" hidden="0" customWidth="1"/>
    <x:col min="14" max="14" width="15" hidden="0" customWidth="1"/>
    <x:col min="15" max="15" width="48" hidden="0" customWidth="1"/>
    <x:col min="16" max="16" width="21" hidden="0" customWidth="1"/>
    <x:col min="17" max="17" width="14" hidden="0" customWidth="1"/>
    <x:col min="18" max="18" width="20" hidden="0" customWidth="1"/>
    <x:col min="19" max="19" width="20" hidden="0" customWidth="1"/>
    <x:col min="20" max="20" width="28" hidden="0" customWidth="1"/>
  </x:cols>
  <x:sheetData>
    <x:row r="2">
      <x:c r="A2" s="2" t="str">
        <x:v>Company revenue per effective MW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</x:row>
    <x:row r="3">
      <x:c r="A3" s="3" t="str">
        <x:v>Blue cells are editable source inputs. Formula outputs remain blank when a required numerator or denominator is missing.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</x:row>
    <x:row r="4" ht="32" customHeight="1">
      <x:c r="A4" s="15" t="str">
        <x:v>Company</x:v>
      </x:c>
      <x:c r="B4" s="16" t="str">
        <x:v>Method ID</x:v>
      </x:c>
      <x:c r="C4" s="16" t="str">
        <x:v>Period</x:v>
      </x:c>
      <x:c r="D4" s="16" t="str">
        <x:v>Revenue input (USD)</x:v>
      </x:c>
      <x:c r="E4" s="16" t="str">
        <x:v>Annualization factor</x:v>
      </x:c>
      <x:c r="F4" s="16" t="str">
        <x:v>AI / compute attribution</x:v>
      </x:c>
      <x:c r="G4" s="16" t="str">
        <x:v>Reported power (MW)</x:v>
      </x:c>
      <x:c r="H4" s="16" t="str">
        <x:v>Power scope</x:v>
      </x:c>
      <x:c r="I4" s="16" t="str">
        <x:v>PUE</x:v>
      </x:c>
      <x:c r="J4" s="16" t="str">
        <x:v>Availability</x:v>
      </x:c>
      <x:c r="K4" s="16" t="str">
        <x:v>Reserve factor</x:v>
      </x:c>
      <x:c r="L4" s="16" t="str">
        <x:v>Utilization</x:v>
      </x:c>
      <x:c r="M4" s="16" t="str">
        <x:v>Source ID</x:v>
      </x:c>
      <x:c r="N4" s="16" t="str">
        <x:v>Status</x:v>
      </x:c>
      <x:c r="O4" s="16" t="str">
        <x:v>Method note</x:v>
      </x:c>
      <x:c r="P4" s="16" t="str">
        <x:v>Annualized attributed revenue (USD)</x:v>
      </x:c>
      <x:c r="Q4" s="16" t="str">
        <x:v>IT-load MW</x:v>
      </x:c>
      <x:c r="R4" s="16" t="str">
        <x:v>Effective utilized IT MW</x:v>
      </x:c>
      <x:c r="S4" s="16" t="str">
        <x:v>Revenue ($M / effective MW-year)</x:v>
      </x:c>
      <x:c r="T4" s="17" t="str">
        <x:v>Calculation status</x:v>
      </x:c>
    </x:row>
    <x:row r="5">
      <x:c r="A5" s="19" t="str">
        <x:v>Microsoft Azure</x:v>
      </x:c>
      <x:c r="B5" s="19" t="str">
        <x:v>SEGMENT-AZURE</x:v>
      </x:c>
      <x:c r="C5" s="19" t="str">
        <x:v>Q4 FY2026</x:v>
      </x:c>
      <x:c r="D5" s="27" t="n">
        <x:v>29417000000</x:v>
      </x:c>
      <x:c r="E5" s="29" t="n">
        <x:v>4</x:v>
      </x:c>
      <x:c r="F5" s="31"/>
      <x:c r="G5" s="33"/>
      <x:c r="H5" s="23"/>
      <x:c r="I5" s="35"/>
      <x:c r="J5" s="35"/>
      <x:c r="K5" s="35"/>
      <x:c r="L5" s="35"/>
      <x:c r="M5" s="19" t="str">
        <x:v>SRC-MSFT-SEGMENT-EX99-20260902</x:v>
      </x:c>
      <x:c r="N5" s="19" t="str">
        <x:v>PARTIAL</x:v>
      </x:c>
      <x:c r="O5" s="43" t="str">
        <x:v>Restated Azure revenue; AI share, period-average active AI IT MW, physical utilization and matched full-fleet PUE missing. FY2025 PUE 1.17 and implied 1.55GW owned-fleet IT load are boundary diagnostics only; Q4 1GW addition excluded.</x:v>
      </x:c>
      <x:c r="P5" s="37" t="str">
        <x:f>IF(OR(D5="",E5="",F5=""),"",D5*E5*F5)</x:f>
      </x:c>
      <x:c r="Q5" s="39" t="str">
        <x:f>IF(G5="","",IF(H5="IT load",G5,IF(H5="Facility power",IF(I5="","",G5/I5),IF(H5="Generation",IF(OR(I5="",J5="",K5=""),"",G5*J5*K5/I5),IF(H5="Effective utilized IT",G5,"")))))</x:f>
      </x:c>
      <x:c r="R5" s="39" t="str">
        <x:f>IF(Q5="","",IF(H5="Effective utilized IT",Q5,IF(L5="","",Q5*L5)))</x:f>
      </x:c>
      <x:c r="S5" s="41" t="str">
        <x:f>IF(OR(P5="",R5="",R5=0),"",P5/R5/1000000)</x:f>
      </x:c>
      <x:c r="T5" s="25" t="str">
        <x:f>IF(S5&lt;&gt;"","Calculated",IF(OR(N5="VENDOR ONLY",N5="CAPEX ONLY"),"Not an operator output","Missing numerator or denominator"))</x:f>
        <x:v>Missing numerator or denominator</x:v>
      </x:c>
    </x:row>
    <x:row r="6">
      <x:c r="A6" s="19" t="str">
        <x:v>Amazon AWS</x:v>
      </x:c>
      <x:c r="B6" s="19" t="str">
        <x:v>SEGMENT-AWS</x:v>
      </x:c>
      <x:c r="C6" s="19" t="str">
        <x:v>Open</x:v>
      </x:c>
      <x:c r="D6" s="27"/>
      <x:c r="E6" s="29"/>
      <x:c r="F6" s="31"/>
      <x:c r="G6" s="33"/>
      <x:c r="H6" s="23"/>
      <x:c r="I6" s="35"/>
      <x:c r="J6" s="35"/>
      <x:c r="K6" s="35"/>
      <x:c r="L6" s="35"/>
      <x:c r="M6" s="19" t="str">
        <x:v>SRC-CHAT-001</x:v>
      </x:c>
      <x:c r="N6" s="19" t="str">
        <x:v>OPEN</x:v>
      </x:c>
      <x:c r="O6" s="43" t="str">
        <x:v>Needs matching AI revenue attribution and average AI IT MW</x:v>
      </x:c>
      <x:c r="P6" s="37" t="str">
        <x:f>IF(OR(D6="",E6="",F6=""),"",D6*E6*F6)</x:f>
      </x:c>
      <x:c r="Q6" s="39" t="str">
        <x:f>IF(G6="","",IF(H6="IT load",G6,IF(H6="Facility power",IF(I6="","",G6/I6),IF(H6="Generation",IF(OR(I6="",J6="",K6=""),"",G6*J6*K6/I6),IF(H6="Effective utilized IT",G6,"")))))</x:f>
      </x:c>
      <x:c r="R6" s="39" t="str">
        <x:f>IF(Q6="","",IF(H6="Effective utilized IT",Q6,IF(L6="","",Q6*L6)))</x:f>
      </x:c>
      <x:c r="S6" s="41" t="str">
        <x:f>IF(OR(P6="",R6="",R6=0),"",P6/R6/1000000)</x:f>
      </x:c>
      <x:c r="T6" s="25" t="str">
        <x:f>IF(S6&lt;&gt;"","Calculated",IF(OR(N6="VENDOR ONLY",N6="CAPEX ONLY"),"Not an operator output","Missing numerator or denominator"))</x:f>
        <x:v>Missing numerator or denominator</x:v>
      </x:c>
    </x:row>
    <x:row r="7">
      <x:c r="A7" s="19" t="str">
        <x:v>Alphabet Google Cloud</x:v>
      </x:c>
      <x:c r="B7" s="19" t="str">
        <x:v>SEGMENT-GCP</x:v>
      </x:c>
      <x:c r="C7" s="19" t="str">
        <x:v>Open</x:v>
      </x:c>
      <x:c r="D7" s="27"/>
      <x:c r="E7" s="29"/>
      <x:c r="F7" s="31"/>
      <x:c r="G7" s="33"/>
      <x:c r="H7" s="23"/>
      <x:c r="I7" s="35"/>
      <x:c r="J7" s="35"/>
      <x:c r="K7" s="35"/>
      <x:c r="L7" s="35"/>
      <x:c r="M7" s="19" t="str">
        <x:v>SRC-CHAT-001</x:v>
      </x:c>
      <x:c r="N7" s="19" t="str">
        <x:v>OPEN</x:v>
      </x:c>
      <x:c r="O7" s="43" t="str">
        <x:v>Needs external GCP AI numerator separate from internal TPU use</x:v>
      </x:c>
      <x:c r="P7" s="37" t="str">
        <x:f>IF(OR(D7="",E7="",F7=""),"",D7*E7*F7)</x:f>
      </x:c>
      <x:c r="Q7" s="39" t="str">
        <x:f>IF(G7="","",IF(H7="IT load",G7,IF(H7="Facility power",IF(I7="","",G7/I7),IF(H7="Generation",IF(OR(I7="",J7="",K7=""),"",G7*J7*K7/I7),IF(H7="Effective utilized IT",G7,"")))))</x:f>
      </x:c>
      <x:c r="R7" s="39" t="str">
        <x:f>IF(Q7="","",IF(H7="Effective utilized IT",Q7,IF(L7="","",Q7*L7)))</x:f>
      </x:c>
      <x:c r="S7" s="41" t="str">
        <x:f>IF(OR(P7="",R7="",R7=0),"",P7/R7/1000000)</x:f>
      </x:c>
      <x:c r="T7" s="25" t="str">
        <x:f>IF(S7&lt;&gt;"","Calculated",IF(OR(N7="VENDOR ONLY",N7="CAPEX ONLY"),"Not an operator output","Missing numerator or denominator"))</x:f>
        <x:v>Missing numerator or denominator</x:v>
      </x:c>
    </x:row>
    <x:row r="8">
      <x:c r="A8" s="19" t="str">
        <x:v>Meta</x:v>
      </x:c>
      <x:c r="B8" s="19" t="str">
        <x:v>INTERNAL-META</x:v>
      </x:c>
      <x:c r="C8" s="19" t="str">
        <x:v>Open</x:v>
      </x:c>
      <x:c r="D8" s="27"/>
      <x:c r="E8" s="29"/>
      <x:c r="F8" s="31"/>
      <x:c r="G8" s="33"/>
      <x:c r="H8" s="23"/>
      <x:c r="I8" s="35"/>
      <x:c r="J8" s="35"/>
      <x:c r="K8" s="35"/>
      <x:c r="L8" s="35"/>
      <x:c r="M8" s="19" t="str">
        <x:v>SRC-CHAT-001</x:v>
      </x:c>
      <x:c r="N8" s="19" t="str">
        <x:v>OPEN</x:v>
      </x:c>
      <x:c r="O8" s="43" t="str">
        <x:v>Needs incremental monetization bridge; total ad revenue prohibited</x:v>
      </x:c>
      <x:c r="P8" s="37" t="str">
        <x:f>IF(OR(D8="",E8="",F8=""),"",D8*E8*F8)</x:f>
      </x:c>
      <x:c r="Q8" s="39" t="str">
        <x:f>IF(G8="","",IF(H8="IT load",G8,IF(H8="Facility power",IF(I8="","",G8/I8),IF(H8="Generation",IF(OR(I8="",J8="",K8=""),"",G8*J8*K8/I8),IF(H8="Effective utilized IT",G8,"")))))</x:f>
      </x:c>
      <x:c r="R8" s="39" t="str">
        <x:f>IF(Q8="","",IF(H8="Effective utilized IT",Q8,IF(L8="","",Q8*L8)))</x:f>
      </x:c>
      <x:c r="S8" s="41" t="str">
        <x:f>IF(OR(P8="",R8="",R8=0),"",P8/R8/1000000)</x:f>
      </x:c>
      <x:c r="T8" s="25" t="str">
        <x:f>IF(S8&lt;&gt;"","Calculated",IF(OR(N8="VENDOR ONLY",N8="CAPEX ONLY"),"Not an operator output","Missing numerator or denominator"))</x:f>
        <x:v>Missing numerator or denominator</x:v>
      </x:c>
    </x:row>
    <x:row r="9">
      <x:c r="A9" s="19" t="str">
        <x:v>Oracle OCI</x:v>
      </x:c>
      <x:c r="B9" s="19" t="str">
        <x:v>SEGMENT-OCI</x:v>
      </x:c>
      <x:c r="C9" s="19" t="str">
        <x:v>Q1 FY2027</x:v>
      </x:c>
      <x:c r="D9" s="27" t="n">
        <x:v>7400000000</x:v>
      </x:c>
      <x:c r="E9" s="29" t="n">
        <x:v>4</x:v>
      </x:c>
      <x:c r="F9" s="31"/>
      <x:c r="G9" s="33"/>
      <x:c r="H9" s="23"/>
      <x:c r="I9" s="35"/>
      <x:c r="J9" s="35"/>
      <x:c r="K9" s="35"/>
      <x:c r="L9" s="35"/>
      <x:c r="M9" s="19" t="str">
        <x:v>SRC-ORCL-Q1FY27-20260910</x:v>
      </x:c>
      <x:c r="N9" s="19" t="str">
        <x:v>PARTIAL</x:v>
      </x:c>
      <x:c r="O9" s="43" t="str">
        <x:v>IaaS only; AI share and average IT MW missing. 850MW additions excluded; PUE undisclosed.</x:v>
      </x:c>
      <x:c r="P9" s="37" t="str">
        <x:f>IF(OR(D9="",E9="",F9=""),"",D9*E9*F9)</x:f>
      </x:c>
      <x:c r="Q9" s="39" t="str">
        <x:f>IF(G9="","",IF(H9="IT load",G9,IF(H9="Facility power",IF(I9="","",G9/I9),IF(H9="Generation",IF(OR(I9="",J9="",K9=""),"",G9*J9*K9/I9),IF(H9="Effective utilized IT",G9,"")))))</x:f>
      </x:c>
      <x:c r="R9" s="39" t="str">
        <x:f>IF(Q9="","",IF(H9="Effective utilized IT",Q9,IF(L9="","",Q9*L9)))</x:f>
      </x:c>
      <x:c r="S9" s="41" t="str">
        <x:f>IF(OR(P9="",R9="",R9=0),"",P9/R9/1000000)</x:f>
      </x:c>
      <x:c r="T9" s="25" t="str">
        <x:f>IF(S9&lt;&gt;"","Calculated",IF(OR(N9="VENDOR ONLY",N9="CAPEX ONLY"),"Not an operator output","Missing numerator or denominator"))</x:f>
        <x:v>Missing numerator or denominator</x:v>
      </x:c>
    </x:row>
    <x:row r="10">
      <x:c r="A10" s="19" t="str">
        <x:v>CoreWeave</x:v>
      </x:c>
      <x:c r="B10" s="19" t="str">
        <x:v>MERCHANT-CRWV</x:v>
      </x:c>
      <x:c r="C10" s="19" t="str">
        <x:v>Q2 2026</x:v>
      </x:c>
      <x:c r="D10" s="27" t="n">
        <x:v>2575000000</x:v>
      </x:c>
      <x:c r="E10" s="29" t="n">
        <x:v>4</x:v>
      </x:c>
      <x:c r="F10" s="31"/>
      <x:c r="G10" s="33" t="n">
        <x:v>1250</x:v>
      </x:c>
      <x:c r="H10" s="23" t="str">
        <x:v>Facility power</x:v>
      </x:c>
      <x:c r="I10" s="35"/>
      <x:c r="J10" s="35"/>
      <x:c r="K10" s="35"/>
      <x:c r="L10" s="35"/>
      <x:c r="M10" s="19" t="str">
        <x:v>SRC-CRWV-Q2FY26-ER</x:v>
      </x:c>
      <x:c r="N10" s="19" t="str">
        <x:v>PARTIAL</x:v>
      </x:c>
      <x:c r="O10" s="43" t="str">
        <x:v>All-cloud revenue and modeled period-average active-power proxy; compute mix power boundary PUE and utilization remain missing so normalized output stays blank</x:v>
      </x:c>
      <x:c r="P10" s="37" t="str">
        <x:f>IF(OR(D10="",E10="",F10=""),"",D10*E10*F10)</x:f>
      </x:c>
      <x:c r="Q10" s="39" t="str">
        <x:f>IF(G10="","",IF(H10="IT load",G10,IF(H10="Facility power",IF(I10="","",G10/I10),IF(H10="Generation",IF(OR(I10="",J10="",K10=""),"",G10*J10*K10/I10),IF(H10="Effective utilized IT",G10,"")))))</x:f>
      </x:c>
      <x:c r="R10" s="39" t="str">
        <x:f>IF(Q10="","",IF(H10="Effective utilized IT",Q10,IF(L10="","",Q10*L10)))</x:f>
      </x:c>
      <x:c r="S10" s="41" t="str">
        <x:f>IF(OR(P10="",R10="",R10=0),"",P10/R10/1000000)</x:f>
      </x:c>
      <x:c r="T10" s="25" t="str">
        <x:f>IF(S10&lt;&gt;"","Calculated",IF(OR(N10="VENDOR ONLY",N10="CAPEX ONLY"),"Not an operator output","Missing numerator or denominator"))</x:f>
        <x:v>Missing numerator or denominator</x:v>
      </x:c>
    </x:row>
    <x:row r="11">
      <x:c r="A11" s="19" t="str">
        <x:v>Nebius</x:v>
      </x:c>
      <x:c r="B11" s="19" t="str">
        <x:v>MERCHANT-NBIS</x:v>
      </x:c>
      <x:c r="C11" s="19" t="str">
        <x:v>Q2 2026</x:v>
      </x:c>
      <x:c r="D11" s="27" t="n">
        <x:v>574900000</x:v>
      </x:c>
      <x:c r="E11" s="29" t="n">
        <x:v>4</x:v>
      </x:c>
      <x:c r="F11" s="31"/>
      <x:c r="G11" s="33"/>
      <x:c r="H11" s="23"/>
      <x:c r="I11" s="35"/>
      <x:c r="J11" s="35"/>
      <x:c r="K11" s="35"/>
      <x:c r="L11" s="35"/>
      <x:c r="M11" s="19" t="str">
        <x:v>SRC-NBIS-Q2FY26-FS</x:v>
      </x:c>
      <x:c r="N11" s="19" t="str">
        <x:v>PARTIAL</x:v>
      </x:c>
      <x:c r="O11" s="43" t="str">
        <x:v>Raw segment includes internal/noncompute; Q2 active IT MW and utilization open. PUE 1.25 is 2025 only.</x:v>
      </x:c>
      <x:c r="P11" s="37" t="str">
        <x:f>IF(OR(D11="",E11="",F11=""),"",D11*E11*F11)</x:f>
      </x:c>
      <x:c r="Q11" s="39" t="str">
        <x:f>IF(G11="","",IF(H11="IT load",G11,IF(H11="Facility power",IF(I11="","",G11/I11),IF(H11="Generation",IF(OR(I11="",J11="",K11=""),"",G11*J11*K11/I11),IF(H11="Effective utilized IT",G11,"")))))</x:f>
      </x:c>
      <x:c r="R11" s="39" t="str">
        <x:f>IF(Q11="","",IF(H11="Effective utilized IT",Q11,IF(L11="","",Q11*L11)))</x:f>
      </x:c>
      <x:c r="S11" s="41" t="str">
        <x:f>IF(OR(P11="",R11="",R11=0),"",P11/R11/1000000)</x:f>
      </x:c>
      <x:c r="T11" s="25" t="str">
        <x:f>IF(S11&lt;&gt;"","Calculated",IF(OR(N11="VENDOR ONLY",N11="CAPEX ONLY"),"Not an operator output","Missing numerator or denominator"))</x:f>
        <x:v>Missing numerator or denominator</x:v>
      </x:c>
    </x:row>
    <x:row r="12">
      <x:c r="A12" s="19" t="str">
        <x:v>IREN</x:v>
      </x:c>
      <x:c r="B12" s="19" t="str">
        <x:v>MERCHANT-IREN</x:v>
      </x:c>
      <x:c r="C12" s="19" t="str">
        <x:v>Q4 FY2026</x:v>
      </x:c>
      <x:c r="D12" s="27" t="n">
        <x:v>70515000</x:v>
      </x:c>
      <x:c r="E12" s="29" t="n">
        <x:v>4</x:v>
      </x:c>
      <x:c r="F12" s="31" t="n">
        <x:v>1</x:v>
      </x:c>
      <x:c r="G12" s="33"/>
      <x:c r="H12" s="23"/>
      <x:c r="I12" s="35"/>
      <x:c r="J12" s="35"/>
      <x:c r="K12" s="35"/>
      <x:c r="L12" s="35"/>
      <x:c r="M12" s="19" t="str">
        <x:v>SRC-IREN-10K-FY26</x:v>
      </x:c>
      <x:c r="N12" s="19" t="str">
        <x:v>PARTIAL</x:v>
      </x:c>
      <x:c r="O12" s="43" t="str">
        <x:v>AI Cloud revenue only derived from FY less nine months; Q4 average active IT MW, utilization and fleet PUE missing. The 40MW June 30 exit capacity is excluded.</x:v>
      </x:c>
      <x:c r="P12" s="37" t="n">
        <x:f>IF(OR(D12="",E12="",F12=""),"",D12*E12*F12)</x:f>
        <x:v>282060000</x:v>
      </x:c>
      <x:c r="Q12" s="39" t="str">
        <x:f>IF(G12="","",IF(H12="IT load",G12,IF(H12="Facility power",IF(I12="","",G12/I12),IF(H12="Generation",IF(OR(I12="",J12="",K12=""),"",G12*J12*K12/I12),IF(H12="Effective utilized IT",G12,"")))))</x:f>
      </x:c>
      <x:c r="R12" s="39" t="str">
        <x:f>IF(Q12="","",IF(H12="Effective utilized IT",Q12,IF(L12="","",Q12*L12)))</x:f>
      </x:c>
      <x:c r="S12" s="41" t="str">
        <x:f>IF(OR(P12="",R12="",R12=0),"",P12/R12/1000000)</x:f>
      </x:c>
      <x:c r="T12" s="25" t="str">
        <x:f>IF(S12&lt;&gt;"","Calculated",IF(OR(N12="VENDOR ONLY",N12="CAPEX ONLY"),"Not an operator output","Missing numerator or denominator"))</x:f>
        <x:v>Missing numerator or denominator</x:v>
      </x:c>
    </x:row>
    <x:row r="13">
      <x:c r="A13" s="19" t="str">
        <x:v>Nscale / Anthropic</x:v>
      </x:c>
      <x:c r="B13" s="19" t="str">
        <x:v>CONTRACT-NSCALE</x:v>
      </x:c>
      <x:c r="C13" s="19" t="str">
        <x:v>2026 contract</x:v>
      </x:c>
      <x:c r="D13" s="27" t="n">
        <x:v>7500000000</x:v>
      </x:c>
      <x:c r="E13" s="29" t="n">
        <x:v>1</x:v>
      </x:c>
      <x:c r="F13" s="31" t="n">
        <x:v>1</x:v>
      </x:c>
      <x:c r="G13" s="33" t="n">
        <x:v>460</x:v>
      </x:c>
      <x:c r="H13" s="23" t="str">
        <x:v>IT load</x:v>
      </x:c>
      <x:c r="I13" s="35" t="n">
        <x:v>1</x:v>
      </x:c>
      <x:c r="J13" s="35" t="n">
        <x:v>1</x:v>
      </x:c>
      <x:c r="K13" s="35" t="n">
        <x:v>1</x:v>
      </x:c>
      <x:c r="L13" s="35" t="n">
        <x:v>1</x:v>
      </x:c>
      <x:c r="M13" s="19" t="str">
        <x:v>SRC-WB-NSCALE-001</x:v>
      </x:c>
      <x:c r="N13" s="19" t="str">
        <x:v>DERIVED</x:v>
      </x:c>
      <x:c r="O13" s="43" t="str">
        <x:v>$45B over six years divided by 460 MW contracted IT load</x:v>
      </x:c>
      <x:c r="P13" s="37" t="n">
        <x:f>IF(OR(D13="",E13="",F13=""),"",D13*E13*F13)</x:f>
        <x:v>7500000000</x:v>
      </x:c>
      <x:c r="Q13" s="39" t="n">
        <x:f>IF(G13="","",IF(H13="IT load",G13,IF(H13="Facility power",IF(I13="","",G13/I13),IF(H13="Generation",IF(OR(I13="",J13="",K13=""),"",G13*J13*K13/I13),IF(H13="Effective utilized IT",G13,"")))))</x:f>
        <x:v>460</x:v>
      </x:c>
      <x:c r="R13" s="39" t="n">
        <x:f>IF(Q13="","",IF(H13="Effective utilized IT",Q13,IF(L13="","",Q13*L13)))</x:f>
        <x:v>460</x:v>
      </x:c>
      <x:c r="S13" s="41" t="n">
        <x:f>IF(OR(P13="",R13="",R13=0),"",P13/R13/1000000)</x:f>
        <x:v>16.304347826086957</x:v>
      </x:c>
      <x:c r="T13" s="25" t="str">
        <x:f>IF(S13&lt;&gt;"","Calculated",IF(OR(N13="VENDOR ONLY",N13="CAPEX ONLY"),"Not an operator output","Missing numerator or denominator"))</x:f>
        <x:v>Calculated</x:v>
      </x:c>
    </x:row>
    <x:row r="14">
      <x:c r="A14" s="19" t="str">
        <x:v>xAI / SpaceX</x:v>
      </x:c>
      <x:c r="B14" s="19" t="str">
        <x:v>PROJECT-XAI</x:v>
      </x:c>
      <x:c r="C14" s="19" t="str">
        <x:v>2026</x:v>
      </x:c>
      <x:c r="D14" s="27"/>
      <x:c r="E14" s="29"/>
      <x:c r="F14" s="31"/>
      <x:c r="G14" s="33" t="n">
        <x:v>1400</x:v>
      </x:c>
      <x:c r="H14" s="23" t="str">
        <x:v>IT load</x:v>
      </x:c>
      <x:c r="I14" s="35" t="n">
        <x:v>1</x:v>
      </x:c>
      <x:c r="J14" s="35" t="n">
        <x:v>1</x:v>
      </x:c>
      <x:c r="K14" s="35" t="n">
        <x:v>1</x:v>
      </x:c>
      <x:c r="L14" s="35"/>
      <x:c r="M14" s="19" t="str">
        <x:v>SRC-WB-P2S-001</x:v>
      </x:c>
      <x:c r="N14" s="19" t="str">
        <x:v>GUIDANCE ONLY</x:v>
      </x:c>
      <x:c r="O14" s="43" t="str">
        <x:v>Capex power anchor only; Sep 10 guidance is $30-50B per stated GW-year; effective denominator unresolved</x:v>
      </x:c>
      <x:c r="P14" s="37" t="str">
        <x:f>IF(OR(D14="",E14="",F14=""),"",D14*E14*F14)</x:f>
      </x:c>
      <x:c r="Q14" s="39" t="n">
        <x:f>IF(G14="","",IF(H14="IT load",G14,IF(H14="Facility power",IF(I14="","",G14/I14),IF(H14="Generation",IF(OR(I14="",J14="",K14=""),"",G14*J14*K14/I14),IF(H14="Effective utilized IT",G14,"")))))</x:f>
        <x:v>1400</x:v>
      </x:c>
      <x:c r="R14" s="39" t="str">
        <x:f>IF(Q14="","",IF(H14="Effective utilized IT",Q14,IF(L14="","",Q14*L14)))</x:f>
      </x:c>
      <x:c r="S14" s="41" t="str">
        <x:f>IF(OR(P14="",R14="",R14=0),"",P14/R14/1000000)</x:f>
      </x:c>
      <x:c r="T14" s="25" t="str">
        <x:f>IF(S14&lt;&gt;"","Calculated",IF(OR(N14="VENDOR ONLY",N14="CAPEX ONLY"),"Not an operator output","Missing numerator or denominator"))</x:f>
        <x:v>Missing numerator or denominator</x:v>
      </x:c>
    </x:row>
    <x:row r="15">
      <x:c r="A15" s="19" t="str">
        <x:v>OpenAI / Stargate</x:v>
      </x:c>
      <x:c r="B15" s="19" t="str">
        <x:v>PROJECT-STARGATE</x:v>
      </x:c>
      <x:c r="C15" s="19" t="str">
        <x:v>2026</x:v>
      </x:c>
      <x:c r="D15" s="27"/>
      <x:c r="E15" s="29"/>
      <x:c r="F15" s="31"/>
      <x:c r="G15" s="33" t="n">
        <x:v>1000</x:v>
      </x:c>
      <x:c r="H15" s="23" t="str">
        <x:v>IT load</x:v>
      </x:c>
      <x:c r="I15" s="35" t="n">
        <x:v>1</x:v>
      </x:c>
      <x:c r="J15" s="35" t="n">
        <x:v>1</x:v>
      </x:c>
      <x:c r="K15" s="35" t="n">
        <x:v>1</x:v>
      </x:c>
      <x:c r="L15" s="35"/>
      <x:c r="M15" s="19" t="str">
        <x:v>SRC-WB-P2S-001</x:v>
      </x:c>
      <x:c r="N15" s="19" t="str">
        <x:v>CAPEX ONLY</x:v>
      </x:c>
      <x:c r="O15" s="43" t="str">
        <x:v>Revenue numerator not disclosed; power used for capex benchmark only</x:v>
      </x:c>
      <x:c r="P15" s="37" t="str">
        <x:f>IF(OR(D15="",E15="",F15=""),"",D15*E15*F15)</x:f>
      </x:c>
      <x:c r="Q15" s="39" t="n">
        <x:f>IF(G15="","",IF(H15="IT load",G15,IF(H15="Facility power",IF(I15="","",G15/I15),IF(H15="Generation",IF(OR(I15="",J15="",K15=""),"",G15*J15*K15/I15),IF(H15="Effective utilized IT",G15,"")))))</x:f>
        <x:v>1000</x:v>
      </x:c>
      <x:c r="R15" s="39" t="str">
        <x:f>IF(Q15="","",IF(H15="Effective utilized IT",Q15,IF(L15="","",Q15*L15)))</x:f>
      </x:c>
      <x:c r="S15" s="41" t="str">
        <x:f>IF(OR(P15="",R15="",R15=0),"",P15/R15/1000000)</x:f>
      </x:c>
      <x:c r="T15" s="25" t="str">
        <x:f>IF(S15&lt;&gt;"","Calculated",IF(OR(N15="VENDOR ONLY",N15="CAPEX ONLY"),"Not an operator output","Missing numerator or denominator"))</x:f>
        <x:v>Not an operator output</x:v>
      </x:c>
    </x:row>
    <x:row r="16">
      <x:c r="A16" s="19" t="str">
        <x:v>NVIDIA</x:v>
      </x:c>
      <x:c r="B16" s="19" t="str">
        <x:v>VENDOR-NVDA</x:v>
      </x:c>
      <x:c r="C16" s="19" t="str">
        <x:v>Generation anchors</x:v>
      </x:c>
      <x:c r="D16" s="27"/>
      <x:c r="E16" s="29"/>
      <x:c r="F16" s="31"/>
      <x:c r="G16" s="33" t="n">
        <x:v>1000</x:v>
      </x:c>
      <x:c r="H16" s="23" t="str">
        <x:v>IT load</x:v>
      </x:c>
      <x:c r="I16" s="35" t="n">
        <x:v>1</x:v>
      </x:c>
      <x:c r="J16" s="35" t="n">
        <x:v>1</x:v>
      </x:c>
      <x:c r="K16" s="35" t="n">
        <x:v>1</x:v>
      </x:c>
      <x:c r="L16" s="35"/>
      <x:c r="M16" s="19" t="str">
        <x:v>SRC-NVDA-Q2FY27-001</x:v>
      </x:c>
      <x:c r="N16" s="19" t="str">
        <x:v>VENDOR ONLY</x:v>
      </x:c>
      <x:c r="O16" s="43" t="str">
        <x:v>Use silicon content per GW; not operator revenue per MW</x:v>
      </x:c>
      <x:c r="P16" s="37" t="str">
        <x:f>IF(OR(D16="",E16="",F16=""),"",D16*E16*F16)</x:f>
      </x:c>
      <x:c r="Q16" s="39" t="n">
        <x:f>IF(G16="","",IF(H16="IT load",G16,IF(H16="Facility power",IF(I16="","",G16/I16),IF(H16="Generation",IF(OR(I16="",J16="",K16=""),"",G16*J16*K16/I16),IF(H16="Effective utilized IT",G16,"")))))</x:f>
        <x:v>1000</x:v>
      </x:c>
      <x:c r="R16" s="39" t="str">
        <x:f>IF(Q16="","",IF(H16="Effective utilized IT",Q16,IF(L16="","",Q16*L16)))</x:f>
      </x:c>
      <x:c r="S16" s="41" t="str">
        <x:f>IF(OR(P16="",R16="",R16=0),"",P16/R16/1000000)</x:f>
      </x:c>
      <x:c r="T16" s="25" t="str">
        <x:f>IF(S16&lt;&gt;"","Calculated",IF(OR(N16="VENDOR ONLY",N16="CAPEX ONLY"),"Not an operator output","Missing numerator or denominator"))</x:f>
        <x:v>Not an operator output</x:v>
      </x:c>
    </x:row>
    <x:row r="17">
      <x:c r="A17" s="19" t="str">
        <x:v>Broadcom</x:v>
      </x:c>
      <x:c r="B17" s="19" t="str">
        <x:v>VENDOR-AVGO</x:v>
      </x:c>
      <x:c r="C17" s="19" t="str">
        <x:v>Open</x:v>
      </x:c>
      <x:c r="D17" s="27"/>
      <x:c r="E17" s="29"/>
      <x:c r="F17" s="31"/>
      <x:c r="G17" s="33" t="n">
        <x:v>1000</x:v>
      </x:c>
      <x:c r="H17" s="23" t="str">
        <x:v>IT load</x:v>
      </x:c>
      <x:c r="I17" s="35" t="n">
        <x:v>1</x:v>
      </x:c>
      <x:c r="J17" s="35" t="n">
        <x:v>1</x:v>
      </x:c>
      <x:c r="K17" s="35" t="n">
        <x:v>1</x:v>
      </x:c>
      <x:c r="L17" s="35"/>
      <x:c r="M17" s="19" t="str">
        <x:v>SRC-WB-P2S-001</x:v>
      </x:c>
      <x:c r="N17" s="19" t="str">
        <x:v>VENDOR ONLY</x:v>
      </x:c>
      <x:c r="O17" s="43" t="str">
        <x:v>Custom silicon only; architecture mix required</x:v>
      </x:c>
      <x:c r="P17" s="37" t="str">
        <x:f>IF(OR(D17="",E17="",F17=""),"",D17*E17*F17)</x:f>
      </x:c>
      <x:c r="Q17" s="39" t="n">
        <x:f>IF(G17="","",IF(H17="IT load",G17,IF(H17="Facility power",IF(I17="","",G17/I17),IF(H17="Generation",IF(OR(I17="",J17="",K17=""),"",G17*J17*K17/I17),IF(H17="Effective utilized IT",G17,"")))))</x:f>
        <x:v>1000</x:v>
      </x:c>
      <x:c r="R17" s="39" t="str">
        <x:f>IF(Q17="","",IF(H17="Effective utilized IT",Q17,IF(L17="","",Q17*L17)))</x:f>
      </x:c>
      <x:c r="S17" s="41" t="str">
        <x:f>IF(OR(P17="",R17="",R17=0),"",P17/R17/1000000)</x:f>
      </x:c>
      <x:c r="T17" s="25" t="str">
        <x:f>IF(S17&lt;&gt;"","Calculated",IF(OR(N17="VENDOR ONLY",N17="CAPEX ONLY"),"Not an operator output","Missing numerator or denominator"))</x:f>
        <x:v>Not an operator output</x:v>
      </x:c>
    </x:row>
    <x:row r="18">
      <x:c r="A18" s="19" t="str">
        <x:v>Bloom Energy</x:v>
      </x:c>
      <x:c r="B18" s="19" t="str">
        <x:v>SUPPLIER-BLOOM</x:v>
      </x:c>
      <x:c r="C18" s="19" t="str">
        <x:v>Not reviewed</x:v>
      </x:c>
      <x:c r="D18" s="27"/>
      <x:c r="E18" s="29"/>
      <x:c r="F18" s="31"/>
      <x:c r="G18" s="33"/>
      <x:c r="H18" s="23"/>
      <x:c r="I18" s="35"/>
      <x:c r="J18" s="35"/>
      <x:c r="K18" s="35"/>
      <x:c r="L18" s="35"/>
      <x:c r="M18" s="19" t="str">
        <x:v>SRC-NBIS-BLOOM-CONTRACT</x:v>
      </x:c>
      <x:c r="N18" s="19" t="str">
        <x:v>VENDOR ONLY</x:v>
      </x:c>
      <x:c r="O18" s="43" t="str">
        <x:v>Power supplier; PUE not applicable; queued via Nebius agreement.</x:v>
      </x:c>
      <x:c r="P18" s="37" t="str">
        <x:f>IF(OR(D18="",E18="",F18=""),"",D18*E18*F18)</x:f>
      </x:c>
      <x:c r="Q18" s="39" t="str">
        <x:f>IF(G18="","",IF(H18="IT load",G18,IF(H18="Facility power",IF(I18="","",G18/I18),IF(H18="Generation",IF(OR(I18="",J18="",K18=""),"",G18*J18*K18/I18),IF(H18="Effective utilized IT",G18,"")))))</x:f>
      </x:c>
      <x:c r="R18" s="39" t="str">
        <x:f>IF(Q18="","",IF(H18="Effective utilized IT",Q18,IF(L18="","",Q18*L18)))</x:f>
      </x:c>
      <x:c r="S18" s="41" t="str">
        <x:f>IF(OR(P18="",R18="",R18=0),"",P18/R18/1000000)</x:f>
      </x:c>
      <x:c r="T18" s="25" t="str">
        <x:f>IF(S18&lt;&gt;"","Calculated",IF(OR(N18="VENDOR ONLY",N18="CAPEX ONLY"),"Not an operator output","Missing numerator or denominator"))</x:f>
        <x:v>Not an operator output</x:v>
      </x:c>
    </x:row>
    <x:row r="19">
      <x:c r="A19" s="20" t="str">
        <x:v>Palantir</x:v>
      </x:c>
      <x:c r="B19" s="20" t="str">
        <x:v>SOFTWARE-PLTR</x:v>
      </x:c>
      <x:c r="C19" s="20" t="str">
        <x:v>Not reviewed</x:v>
      </x:c>
      <x:c r="D19" s="28"/>
      <x:c r="E19" s="30"/>
      <x:c r="F19" s="32"/>
      <x:c r="G19" s="34"/>
      <x:c r="H19" s="24"/>
      <x:c r="I19" s="36"/>
      <x:c r="J19" s="36"/>
      <x:c r="K19" s="36"/>
      <x:c r="L19" s="36"/>
      <x:c r="M19" s="20" t="str">
        <x:v>SRC-NBIS-PALANTIR-20260908</x:v>
      </x:c>
      <x:c r="N19" s="20" t="str">
        <x:v>VENDOR ONLY</x:v>
      </x:c>
      <x:c r="O19" s="44" t="str">
        <x:v>Software attribution; own PUE not applicable; queued via Nebius partnership.</x:v>
      </x:c>
      <x:c r="P19" s="38" t="str">
        <x:f>IF(OR(D19="",E19="",F19=""),"",D19*E19*F19)</x:f>
      </x:c>
      <x:c r="Q19" s="40" t="str">
        <x:f>IF(G19="","",IF(H19="IT load",G19,IF(H19="Facility power",IF(I19="","",G19/I19),IF(H19="Generation",IF(OR(I19="",J19="",K19=""),"",G19*J19*K19/I19),IF(H19="Effective utilized IT",G19,"")))))</x:f>
      </x:c>
      <x:c r="R19" s="40" t="str">
        <x:f>IF(Q19="","",IF(H19="Effective utilized IT",Q19,IF(L19="","",Q19*L19)))</x:f>
      </x:c>
      <x:c r="S19" s="42" t="str">
        <x:f>IF(OR(P19="",R19="",R19=0),"",P19/R19/1000000)</x:f>
      </x:c>
      <x:c r="T19" s="26" t="str">
        <x:f>IF(S19&lt;&gt;"","Calculated",IF(OR(N19="VENDOR ONLY",N19="CAPEX ONLY"),"Not an operator output","Missing numerator or denominator"))</x:f>
        <x:v>Not an operator output</x:v>
      </x:c>
    </x:row>
  </x:sheetData>
  <x:conditionalFormatting sqref="T5:T19">
    <x:cfRule type="containsText" dxfId="0" priority="1" operator="containsText" text="Missing"/>
    <x:cfRule type="containsText" dxfId="1" priority="2" operator="containsText" text="Calculated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3" hidden="0" customWidth="1"/>
    <x:col min="3" max="3" width="18" hidden="0" customWidth="1"/>
    <x:col min="4" max="4" width="42" hidden="0" customWidth="1"/>
    <x:col min="5" max="5" width="38" hidden="0" customWidth="1"/>
    <x:col min="6" max="6" width="48" hidden="0" customWidth="1"/>
    <x:col min="7" max="7" width="24" hidden="0" customWidth="1"/>
  </x:cols>
  <x:sheetData>
    <x:row r="2">
      <x:c r="A2" s="2" t="str">
        <x:v>Company method registry</x:v>
      </x:c>
      <x:c r="B2" s="1"/>
      <x:c r="C2" s="1"/>
      <x:c r="D2" s="1"/>
      <x:c r="E2" s="1"/>
      <x:c r="F2" s="1"/>
      <x:c r="G2" s="1"/>
    </x:row>
    <x:row r="3">
      <x:c r="A3" s="3" t="str">
        <x:v>The normalized output is shared; each company's numerator and denominator logic remains explicit.</x:v>
      </x:c>
      <x:c r="B3" s="3"/>
      <x:c r="C3" s="3"/>
      <x:c r="D3" s="3"/>
      <x:c r="E3" s="3"/>
      <x:c r="F3" s="3"/>
      <x:c r="G3" s="3"/>
    </x:row>
    <x:row r="4" ht="32" customHeight="1">
      <x:c r="A4" s="15" t="str">
        <x:v>Method ID</x:v>
      </x:c>
      <x:c r="B4" s="16" t="str">
        <x:v>Company</x:v>
      </x:c>
      <x:c r="C4" s="16" t="str">
        <x:v>Role</x:v>
      </x:c>
      <x:c r="D4" s="16" t="str">
        <x:v>Numerator</x:v>
      </x:c>
      <x:c r="E4" s="16" t="str">
        <x:v>Denominator</x:v>
      </x:c>
      <x:c r="F4" s="16" t="str">
        <x:v>Unique adjustment</x:v>
      </x:c>
      <x:c r="G4" s="17" t="str">
        <x:v>Status</x:v>
      </x:c>
    </x:row>
    <x:row r="5">
      <x:c r="A5" s="19" t="str">
        <x:v>SEGMENT-AZURE</x:v>
      </x:c>
      <x:c r="B5" s="19" t="str">
        <x:v>Microsoft Azure</x:v>
      </x:c>
      <x:c r="C5" s="43" t="str">
        <x:v>Hyperscaler</x:v>
      </x:c>
      <x:c r="D5" s="43" t="str">
        <x:v>Annualized restated Azure revenue attributable to external AI compute</x:v>
      </x:c>
      <x:c r="E5" s="43" t="str">
        <x:v>Time-weighted average active Azure AI IT MW times physical utilization</x:v>
      </x:c>
      <x:c r="F5" s="43" t="str">
        <x:v>Use September 2026 restated Azure perimeter; remove virtual desktop and non-AI consumption; include owned, leased, colocated and purchased capacity; never use quarterly added MW or PPA generation</x:v>
      </x:c>
      <x:c r="G5" s="43" t="str">
        <x:v>Partial 2026-09-17; exact Azure revenue established; AI attribution and effective-MW denominator open</x:v>
      </x:c>
    </x:row>
    <x:row r="6">
      <x:c r="A6" s="19" t="str">
        <x:v>SEGMENT-AWS</x:v>
      </x:c>
      <x:c r="B6" s="19" t="str">
        <x:v>Amazon AWS</x:v>
      </x:c>
      <x:c r="C6" s="43" t="str">
        <x:v>Hyperscaler</x:v>
      </x:c>
      <x:c r="D6" s="43" t="str">
        <x:v>Annualized AWS revenue attributable to AI compute</x:v>
      </x:c>
      <x:c r="E6" s="43" t="str">
        <x:v>Average effective utilized AWS AI IT MW</x:v>
      </x:c>
      <x:c r="F6" s="43" t="str">
        <x:v>Separate Trainium Inferentia and third-party GPU workloads</x:v>
      </x:c>
      <x:c r="G6" s="43" t="str">
        <x:v>Configured; inputs open</x:v>
      </x:c>
    </x:row>
    <x:row r="7">
      <x:c r="A7" s="19" t="str">
        <x:v>SEGMENT-GCP</x:v>
      </x:c>
      <x:c r="B7" s="19" t="str">
        <x:v>Alphabet Google Cloud</x:v>
      </x:c>
      <x:c r="C7" s="43" t="str">
        <x:v>Hyperscaler</x:v>
      </x:c>
      <x:c r="D7" s="43" t="str">
        <x:v>Annualized Google Cloud revenue attributable to AI compute</x:v>
      </x:c>
      <x:c r="E7" s="43" t="str">
        <x:v>Average effective utilized GCP AI IT MW</x:v>
      </x:c>
      <x:c r="F7" s="43" t="str">
        <x:v>Separate internal Search and YouTube from external GCP; TPU ownership</x:v>
      </x:c>
      <x:c r="G7" s="43" t="str">
        <x:v>Configured; inputs open</x:v>
      </x:c>
    </x:row>
    <x:row r="8">
      <x:c r="A8" s="19" t="str">
        <x:v>INTERNAL-META</x:v>
      </x:c>
      <x:c r="B8" s="19" t="str">
        <x:v>Meta</x:v>
      </x:c>
      <x:c r="C8" s="43" t="str">
        <x:v>Internal compute</x:v>
      </x:c>
      <x:c r="D8" s="43" t="str">
        <x:v>Incremental ad or engagement revenue plus external Meta Compute revenue attributable to AI</x:v>
      </x:c>
      <x:c r="E8" s="43" t="str">
        <x:v>Average effective utilized Meta AI IT MW</x:v>
      </x:c>
      <x:c r="F8" s="43" t="str">
        <x:v>Never use total advertising revenue; keep internal and external cases separate</x:v>
      </x:c>
      <x:c r="G8" s="43" t="str">
        <x:v>Configured; inputs open</x:v>
      </x:c>
    </x:row>
    <x:row r="9">
      <x:c r="A9" s="19" t="str">
        <x:v>SEGMENT-OCI</x:v>
      </x:c>
      <x:c r="B9" s="19" t="str">
        <x:v>Oracle OCI</x:v>
      </x:c>
      <x:c r="C9" s="43" t="str">
        <x:v>Hyperscaler</x:v>
      </x:c>
      <x:c r="D9" s="43" t="str">
        <x:v>Recognized AI compute within OCI less hardware pass-through</x:v>
      </x:c>
      <x:c r="E9" s="43" t="str">
        <x:v>Time-weighted active AI IT MW and matching utilization</x:v>
      </x:c>
      <x:c r="F9" s="43" t="str">
        <x:v>Exclude RPO and prepayment cash; no use of capacity additions as denominator</x:v>
      </x:c>
      <x:c r="G9" s="43" t="str">
        <x:v>Partial 2026-09-11; PUE not disclosed</x:v>
      </x:c>
    </x:row>
    <x:row r="10">
      <x:c r="A10" s="19" t="str">
        <x:v>MERCHANT-CRWV</x:v>
      </x:c>
      <x:c r="B10" s="19" t="str">
        <x:v>CoreWeave</x:v>
      </x:c>
      <x:c r="C10" s="43" t="str">
        <x:v>Neocloud</x:v>
      </x:c>
      <x:c r="D10" s="43" t="str">
        <x:v>Annualized compute-only revenue</x:v>
      </x:c>
      <x:c r="E10" s="43" t="str">
        <x:v>Weighted-average active IT MW times utilization</x:v>
      </x:c>
      <x:c r="F10" s="43" t="str">
        <x:v>Remove storage networking and software; reconstruct average capacity; resolve active-power boundary and PUE</x:v>
      </x:c>
      <x:c r="G10" s="43" t="str">
        <x:v>Partial 2026-09-12; canonical output open</x:v>
      </x:c>
    </x:row>
    <x:row r="11">
      <x:c r="A11" s="19" t="str">
        <x:v>MERCHANT-NBIS</x:v>
      </x:c>
      <x:c r="B11" s="19" t="str">
        <x:v>Nebius</x:v>
      </x:c>
      <x:c r="C11" s="43" t="str">
        <x:v>Neocloud</x:v>
      </x:c>
      <x:c r="D11" s="43" t="str">
        <x:v>Annualized external compute-only revenue</x:v>
      </x:c>
      <x:c r="E11" s="43" t="str">
        <x:v>Time-weighted effective IT MW</x:v>
      </x:c>
      <x:c r="F11" s="43" t="str">
        <x:v>Exclude internal/noncompute; no exit MW; historical PUE not current</x:v>
      </x:c>
      <x:c r="G11" s="43" t="str">
        <x:v>Partial; numerator and denominator open</x:v>
      </x:c>
    </x:row>
    <x:row r="12">
      <x:c r="A12" s="19" t="str">
        <x:v>MERCHANT-IREN</x:v>
      </x:c>
      <x:c r="B12" s="19" t="str">
        <x:v>IREN</x:v>
      </x:c>
      <x:c r="C12" s="43" t="str">
        <x:v>Neocloud</x:v>
      </x:c>
      <x:c r="D12" s="43" t="str">
        <x:v>Annualized AI cloud and services revenue only</x:v>
      </x:c>
      <x:c r="E12" s="43" t="str">
        <x:v>Average active AI IT MW times physical utilization</x:v>
      </x:c>
      <x:c r="F12" s="43" t="str">
        <x:v>Exclude Bitcoin mining revenue and mining power</x:v>
      </x:c>
      <x:c r="G12" s="43" t="str">
        <x:v>Q4 FY2026 numerator established; average active IT MW utilization and matched PUE open</x:v>
      </x:c>
    </x:row>
    <x:row r="13">
      <x:c r="A13" s="19" t="str">
        <x:v>CONTRACT-NSCALE</x:v>
      </x:c>
      <x:c r="B13" s="19" t="str">
        <x:v>Nscale / Anthropic</x:v>
      </x:c>
      <x:c r="C13" s="43" t="str">
        <x:v>Contracted compute</x:v>
      </x:c>
      <x:c r="D13" s="43" t="str">
        <x:v>Annual contract value</x:v>
      </x:c>
      <x:c r="E13" s="43" t="str">
        <x:v>Contracted IT-load MW</x:v>
      </x:c>
      <x:c r="F13" s="43" t="str">
        <x:v>Keep contract rate separate from physical utilization</x:v>
      </x:c>
      <x:c r="G13" s="43" t="str">
        <x:v>Active anchor</x:v>
      </x:c>
    </x:row>
    <x:row r="14">
      <x:c r="A14" s="19" t="str">
        <x:v>PROJECT-XAI</x:v>
      </x:c>
      <x:c r="B14" s="19" t="str">
        <x:v>xAI / SpaceX</x:v>
      </x:c>
      <x:c r="C14" s="43" t="str">
        <x:v>Reference operator</x:v>
      </x:c>
      <x:c r="D14" s="43" t="str">
        <x:v>Recognized external compute revenue when reconciled</x:v>
      </x:c>
      <x:c r="E14" s="43" t="str">
        <x:v>Average effective Colossus IT MW</x:v>
      </x:c>
      <x:c r="F14" s="43" t="str">
        <x:v>Retain capex benchmark; separate Sep 10 monetization guidance until power scope reconciled</x:v>
      </x:c>
      <x:c r="G14" s="43" t="str">
        <x:v>Capex anchor plus management guidance</x:v>
      </x:c>
    </x:row>
    <x:row r="15">
      <x:c r="A15" s="19" t="str">
        <x:v>PROJECT-STARGATE</x:v>
      </x:c>
      <x:c r="B15" s="19" t="str">
        <x:v>OpenAI / Stargate</x:v>
      </x:c>
      <x:c r="C15" s="43" t="str">
        <x:v>Reference project</x:v>
      </x:c>
      <x:c r="D15" s="43" t="str">
        <x:v>Recognized or contracted compute revenue</x:v>
      </x:c>
      <x:c r="E15" s="43" t="str">
        <x:v>Contracted or active IT-load MW</x:v>
      </x:c>
      <x:c r="F15" s="43" t="str">
        <x:v>Separate financing and total campus spend from revenue</x:v>
      </x:c>
      <x:c r="G15" s="43" t="str">
        <x:v>Capex anchor only</x:v>
      </x:c>
    </x:row>
    <x:row r="16">
      <x:c r="A16" s="19" t="str">
        <x:v>VENDOR-NVDA</x:v>
      </x:c>
      <x:c r="B16" s="19" t="str">
        <x:v>NVIDIA</x:v>
      </x:c>
      <x:c r="C16" s="43" t="str">
        <x:v>Silicon vendor</x:v>
      </x:c>
      <x:c r="D16" s="43" t="str">
        <x:v>Accelerator networking and systems content</x:v>
      </x:c>
      <x:c r="E16" s="43" t="str">
        <x:v>Deployed IT-load GW</x:v>
      </x:c>
      <x:c r="F16" s="43" t="str">
        <x:v>Generation-specific content ladder is not operator revenue</x:v>
      </x:c>
      <x:c r="G16" s="43" t="str">
        <x:v>Vendor anchor</x:v>
      </x:c>
    </x:row>
    <x:row r="17">
      <x:c r="A17" s="19" t="str">
        <x:v>VENDOR-AVGO</x:v>
      </x:c>
      <x:c r="B17" s="19" t="str">
        <x:v>Broadcom</x:v>
      </x:c>
      <x:c r="C17" s="43" t="str">
        <x:v>Silicon vendor</x:v>
      </x:c>
      <x:c r="D17" s="43" t="str">
        <x:v>Custom accelerator and networking revenue attributable to capacity</x:v>
      </x:c>
      <x:c r="E17" s="43" t="str">
        <x:v>Deployed IT-load GW</x:v>
      </x:c>
      <x:c r="F17" s="43" t="str">
        <x:v>Preserve custom-only perimeter and architecture mix</x:v>
      </x:c>
      <x:c r="G17" s="43" t="str">
        <x:v>Configured; inputs partial</x:v>
      </x:c>
    </x:row>
    <x:row r="18">
      <x:c r="A18" s="19" t="str">
        <x:v>SUPPLIER-BLOOM</x:v>
      </x:c>
      <x:c r="B18" s="19" t="str">
        <x:v>Bloom Energy</x:v>
      </x:c>
      <x:c r="C18" s="43" t="str">
        <x:v>Power supplier</x:v>
      </x:c>
      <x:c r="D18" s="43" t="str">
        <x:v>Attributable capacity service fees</x:v>
      </x:c>
      <x:c r="E18" s="43" t="str">
        <x:v>Guaranteed generation MW service-years</x:v>
      </x:c>
      <x:c r="F18" s="43" t="str">
        <x:v>Fuel and generation scope; not operator revenue; PUE not applicable</x:v>
      </x:c>
      <x:c r="G18" s="43" t="str">
        <x:v>Queued; not reviewed</x:v>
      </x:c>
    </x:row>
    <x:row r="19">
      <x:c r="A19" s="20" t="str">
        <x:v>SOFTWARE-PLTR</x:v>
      </x:c>
      <x:c r="B19" s="20" t="str">
        <x:v>Palantir</x:v>
      </x:c>
      <x:c r="C19" s="44" t="str">
        <x:v>Software</x:v>
      </x:c>
      <x:c r="D19" s="44" t="str">
        <x:v>Attributed incremental AI software revenue</x:v>
      </x:c>
      <x:c r="E19" s="44" t="str">
        <x:v>Matching associated average IT MW</x:v>
      </x:c>
      <x:c r="F19" s="44" t="str">
        <x:v>No total-company revenue; separate third-party compute</x:v>
      </x:c>
      <x:c r="G19" s="44" t="str">
        <x:v>Queued; not reviewed</x:v>
      </x:c>
    </x:row>
  </x:sheetData>
  <x:pageMargins left="0.7" right="0.7" top="0.75" bottom="0.75" header="0.3" footer="0.3"/>
  <x:tableParts count="1">
    <x:tablePart xmlns:r="http://schemas.openxmlformats.org/officeDocument/2006/relationships" r:id="R1c6a903f4b0e4e00"/>
  </x:tableParts>
</x:worksheet>
</file>

<file path=xl/worksheets/sheet4.xml><?xml version="1.0" encoding="utf-8"?>
<x:worksheet xmlns:x="http://schemas.openxmlformats.org/spreadsheetml/2006/main">
  <x:sheetPr>
    <x:tabColor rgb="FF2C628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8" hidden="0" customWidth="1"/>
    <x:col min="3" max="3" width="35" hidden="0" customWidth="1"/>
    <x:col min="4" max="4" width="14" hidden="0" customWidth="1"/>
    <x:col min="5" max="5" width="24" hidden="0" customWidth="1"/>
    <x:col min="6" max="6" width="12" hidden="0" customWidth="1"/>
    <x:col min="7" max="7" width="22" hidden="0" customWidth="1"/>
    <x:col min="8" max="8" width="18" hidden="0" customWidth="1"/>
    <x:col min="9" max="9" width="44" hidden="0" customWidth="1"/>
    <x:col min="10" max="10" width="3" hidden="0" customWidth="1"/>
    <x:col min="11" max="11" width="30" hidden="0" customWidth="1"/>
    <x:col min="12" max="12" width="16" hidden="0" customWidth="1"/>
    <x:col min="13" max="13" width="34" hidden="0" customWidth="1"/>
  </x:cols>
  <x:sheetData>
    <x:row r="2">
      <x:c r="A2" s="2" t="str">
        <x:v>Token economics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3" t="str">
        <x:v>Dated observations remain platform-specific. The Jevons calculator uses realized price, volume, and spend identities.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</x:row>
    <x:row r="4" ht="32" customHeight="1">
      <x:c r="A4" s="15" t="str">
        <x:v>Date</x:v>
      </x:c>
      <x:c r="B4" s="16" t="str">
        <x:v>Dataset</x:v>
      </x:c>
      <x:c r="C4" s="16" t="str">
        <x:v>Metric</x:v>
      </x:c>
      <x:c r="D4" s="16" t="str">
        <x:v>Value</x:v>
      </x:c>
      <x:c r="E4" s="16" t="str">
        <x:v>Unit</x:v>
      </x:c>
      <x:c r="F4" s="16" t="str">
        <x:v>Window</x:v>
      </x:c>
      <x:c r="G4" s="16" t="str">
        <x:v>Source ID</x:v>
      </x:c>
      <x:c r="H4" s="16" t="str">
        <x:v>Evidence state</x:v>
      </x:c>
      <x:c r="I4" s="17" t="str">
        <x:v>Notes</x:v>
      </x:c>
      <x:c r="K4" s="15" t="str">
        <x:v>July 2026 Jevons test</x:v>
      </x:c>
      <x:c r="L4" s="16" t="str">
        <x:v>Value</x:v>
      </x:c>
      <x:c r="M4" s="17" t="str">
        <x:v>Formula / meaning</x:v>
      </x:c>
    </x:row>
    <x:row r="5">
      <x:c r="A5" s="45" t="n">
        <x:v>46234</x:v>
      </x:c>
      <x:c r="B5" s="19" t="str">
        <x:v>Vercel</x:v>
      </x:c>
      <x:c r="C5" s="19" t="str">
        <x:v>Token volume growth</x:v>
      </x:c>
      <x:c r="D5" s="47" t="n">
        <x:v>0.59</x:v>
      </x:c>
      <x:c r="E5" s="19" t="str">
        <x:v>percent</x:v>
      </x:c>
      <x:c r="F5" s="19" t="str">
        <x:v>MoM</x:v>
      </x:c>
      <x:c r="G5" s="19" t="str">
        <x:v>SRC-VERCEL-JUL26-001</x:v>
      </x:c>
      <x:c r="H5" s="19" t="str">
        <x:v>Reported</x:v>
      </x:c>
      <x:c r="I5" s="43" t="str">
        <x:v>Production gateway sample</x:v>
      </x:c>
      <x:c r="K5" s="18" t="str">
        <x:v>Realized price decline</x:v>
      </x:c>
      <x:c r="L5" s="53" t="n">
        <x:v>0.136</x:v>
      </x:c>
      <x:c r="M5" s="18" t="str">
        <x:v>Observed</x:v>
      </x:c>
    </x:row>
    <x:row r="6">
      <x:c r="A6" s="45" t="n">
        <x:v>46234</x:v>
      </x:c>
      <x:c r="B6" s="19" t="str">
        <x:v>Vercel</x:v>
      </x:c>
      <x:c r="C6" s="19" t="str">
        <x:v>Spend growth</x:v>
      </x:c>
      <x:c r="D6" s="47" t="n">
        <x:v>0.37</x:v>
      </x:c>
      <x:c r="E6" s="19" t="str">
        <x:v>percent</x:v>
      </x:c>
      <x:c r="F6" s="19" t="str">
        <x:v>MoM</x:v>
      </x:c>
      <x:c r="G6" s="19" t="str">
        <x:v>SRC-VERCEL-JUL26-001</x:v>
      </x:c>
      <x:c r="H6" s="19" t="str">
        <x:v>Reported</x:v>
      </x:c>
      <x:c r="I6" s="43" t="str">
        <x:v>Production gateway sample</x:v>
      </x:c>
      <x:c r="K6" s="18" t="str">
        <x:v>Exact volume break-even</x:v>
      </x:c>
      <x:c r="L6" s="53" t="n">
        <x:f>L5/(1-L5)</x:f>
        <x:v>0.1574074074074074</x:v>
      </x:c>
      <x:c r="M6" s="18" t="str">
        <x:v>d / (1 - d)</x:v>
      </x:c>
    </x:row>
    <x:row r="7">
      <x:c r="A7" s="45" t="n">
        <x:v>46234</x:v>
      </x:c>
      <x:c r="B7" s="19" t="str">
        <x:v>Vercel</x:v>
      </x:c>
      <x:c r="C7" s="19" t="str">
        <x:v>Realized price per token growth</x:v>
      </x:c>
      <x:c r="D7" s="47" t="n">
        <x:v>-0.136</x:v>
      </x:c>
      <x:c r="E7" s="19" t="str">
        <x:v>percent</x:v>
      </x:c>
      <x:c r="F7" s="19" t="str">
        <x:v>MoM</x:v>
      </x:c>
      <x:c r="G7" s="19" t="str">
        <x:v>SRC-VERCEL-JUL26-001</x:v>
      </x:c>
      <x:c r="H7" s="19" t="str">
        <x:v>Derived from production index</x:v>
      </x:c>
      <x:c r="I7" s="43" t="str">
        <x:v>Routing and mix drove decline</x:v>
      </x:c>
      <x:c r="K7" s="18" t="str">
        <x:v>Observed token-volume growth</x:v>
      </x:c>
      <x:c r="L7" s="53" t="n">
        <x:v>0.59</x:v>
      </x:c>
      <x:c r="M7" s="18" t="str">
        <x:v>Observed</x:v>
      </x:c>
    </x:row>
    <x:row r="8">
      <x:c r="A8" s="45" t="n">
        <x:v>46234</x:v>
      </x:c>
      <x:c r="B8" s="19" t="str">
        <x:v>Vercel</x:v>
      </x:c>
      <x:c r="C8" s="19" t="str">
        <x:v>Exact break-even volume growth</x:v>
      </x:c>
      <x:c r="D8" s="47" t="n">
        <x:v>0.1574</x:v>
      </x:c>
      <x:c r="E8" s="19" t="str">
        <x:v>percent</x:v>
      </x:c>
      <x:c r="F8" s="19" t="str">
        <x:v>MoM</x:v>
      </x:c>
      <x:c r="G8" s="19" t="str">
        <x:v>SRC-VERCEL-JUL26-001</x:v>
      </x:c>
      <x:c r="H8" s="19" t="str">
        <x:v>Derived</x:v>
      </x:c>
      <x:c r="I8" s="43" t="str">
        <x:v>d divided by one minus d</x:v>
      </x:c>
      <x:c r="K8" s="18" t="str">
        <x:v>Implied spend growth</x:v>
      </x:c>
      <x:c r="L8" s="50" t="n">
        <x:f>(1+L7)*(1-L5)-1</x:f>
        <x:v>0.37375999999999987</x:v>
      </x:c>
      <x:c r="M8" s="18" t="str">
        <x:v>(1 + g) × (1 - d) - 1</x:v>
      </x:c>
    </x:row>
    <x:row r="9">
      <x:c r="A9" s="45" t="n">
        <x:v>46267</x:v>
      </x:c>
      <x:c r="B9" s="19" t="str">
        <x:v>Silicon Data</x:v>
      </x:c>
      <x:c r="C9" s="19" t="str">
        <x:v>Open LLM index</x:v>
      </x:c>
      <x:c r="D9" s="47" t="n">
        <x:v>0.52</x:v>
      </x:c>
      <x:c r="E9" s="19" t="str">
        <x:v>USD per million tokens</x:v>
      </x:c>
      <x:c r="F9" s="19" t="str">
        <x:v>spot</x:v>
      </x:c>
      <x:c r="G9" s="19" t="str">
        <x:v>SRC-SD-SEP02-001</x:v>
      </x:c>
      <x:c r="H9" s="19" t="str">
        <x:v>Reported</x:v>
      </x:c>
      <x:c r="I9" s="43" t="str">
        <x:v>30-day change -18.4 percent</x:v>
      </x:c>
      <x:c r="K9" s="18" t="str">
        <x:v>Log-change coverage</x:v>
      </x:c>
      <x:c r="L9" s="51" t="n">
        <x:f>LN(1+L7)/-LN(1-L5)</x:f>
        <x:v>3.1722947955074323</x:v>
      </x:c>
      <x:c r="M9" s="18" t="str">
        <x:v>ln(1 + g) / -ln(1 - d)</x:v>
      </x:c>
    </x:row>
    <x:row r="10">
      <x:c r="A10" s="45" t="n">
        <x:v>46267</x:v>
      </x:c>
      <x:c r="B10" s="19" t="str">
        <x:v>Silicon Data</x:v>
      </x:c>
      <x:c r="C10" s="19" t="str">
        <x:v>Proprietary LLM index</x:v>
      </x:c>
      <x:c r="D10" s="47" t="n">
        <x:v>2.08</x:v>
      </x:c>
      <x:c r="E10" s="19" t="str">
        <x:v>USD per million tokens</x:v>
      </x:c>
      <x:c r="F10" s="19" t="str">
        <x:v>spot</x:v>
      </x:c>
      <x:c r="G10" s="19" t="str">
        <x:v>SRC-SD-SEP02-001</x:v>
      </x:c>
      <x:c r="H10" s="19" t="str">
        <x:v>Reported</x:v>
      </x:c>
      <x:c r="I10" s="43" t="str">
        <x:v>30-day change -25.4 percent</x:v>
      </x:c>
      <x:c r="K10" s="49" t="str">
        <x:v>Regime</x:v>
      </x:c>
      <x:c r="L10" s="49" t="str">
        <x:f>IF(L7&gt;L6,"Jevons absorption","Price deflation wins")</x:f>
        <x:v>Jevons absorption</x:v>
      </x:c>
      <x:c r="M10" s="49" t="str">
        <x:v>Volume clears exact break-even</x:v>
      </x:c>
    </x:row>
    <x:row r="11">
      <x:c r="A11" s="45" t="n">
        <x:v>46267</x:v>
      </x:c>
      <x:c r="B11" s="19" t="str">
        <x:v>Silicon Data</x:v>
      </x:c>
      <x:c r="C11" s="19" t="str">
        <x:v>Broad LLM token expenditure index</x:v>
      </x:c>
      <x:c r="D11" s="47" t="n">
        <x:v>0.98</x:v>
      </x:c>
      <x:c r="E11" s="19" t="str">
        <x:v>USD per million tokens</x:v>
      </x:c>
      <x:c r="F11" s="19" t="str">
        <x:v>spot</x:v>
      </x:c>
      <x:c r="G11" s="19" t="str">
        <x:v>SRC-SD-SEP02-001</x:v>
      </x:c>
      <x:c r="H11" s="19" t="str">
        <x:v>Reported</x:v>
      </x:c>
      <x:c r="I11" s="43" t="str">
        <x:v>30-day change -23.1 percent</x:v>
      </x:c>
    </x:row>
    <x:row r="12">
      <x:c r="A12" s="45" t="n">
        <x:v>46267</x:v>
      </x:c>
      <x:c r="B12" s="19" t="str">
        <x:v>Silicon Data</x:v>
      </x:c>
      <x:c r="C12" s="19" t="str">
        <x:v>H100 rental index</x:v>
      </x:c>
      <x:c r="D12" s="47" t="n">
        <x:v>2.66</x:v>
      </x:c>
      <x:c r="E12" s="19" t="str">
        <x:v>USD per GPU-hour</x:v>
      </x:c>
      <x:c r="F12" s="19" t="str">
        <x:v>spot</x:v>
      </x:c>
      <x:c r="G12" s="19" t="str">
        <x:v>SRC-SD-SEP02-001</x:v>
      </x:c>
      <x:c r="H12" s="19" t="str">
        <x:v>Reported</x:v>
      </x:c>
      <x:c r="I12" s="43" t="str">
        <x:v>30-day change -2.9 percent</x:v>
      </x:c>
    </x:row>
    <x:row r="13">
      <x:c r="A13" s="45" t="n">
        <x:v>46270</x:v>
      </x:c>
      <x:c r="B13" s="19" t="str">
        <x:v>Silicon Data</x:v>
      </x:c>
      <x:c r="C13" s="19" t="str">
        <x:v>Broad LLM token expenditure index</x:v>
      </x:c>
      <x:c r="D13" s="47" t="n">
        <x:v>0.99</x:v>
      </x:c>
      <x:c r="E13" s="19" t="str">
        <x:v>USD per million tokens</x:v>
      </x:c>
      <x:c r="F13" s="19" t="str">
        <x:v>7D</x:v>
      </x:c>
      <x:c r="G13" s="19" t="str">
        <x:v>SRC-TOKEN-WE-SEP06-001</x:v>
      </x:c>
      <x:c r="H13" s="19" t="str">
        <x:v>Reported</x:v>
      </x:c>
      <x:c r="I13" s="43" t="str">
        <x:v>7-day change +1.6 percent</x:v>
      </x:c>
    </x:row>
    <x:row r="14">
      <x:c r="A14" s="45" t="n">
        <x:v>46271</x:v>
      </x:c>
      <x:c r="B14" s="19" t="str">
        <x:v>Vercel</x:v>
      </x:c>
      <x:c r="C14" s="19" t="str">
        <x:v>Open-weight token share</x:v>
      </x:c>
      <x:c r="D14" s="47" t="n">
        <x:v>0.653</x:v>
      </x:c>
      <x:c r="E14" s="19" t="str">
        <x:v>percent</x:v>
      </x:c>
      <x:c r="F14" s="19" t="str">
        <x:v>endpoint</x:v>
      </x:c>
      <x:c r="G14" s="19" t="str">
        <x:v>SRC-TOKEN-WE-SEP06-001</x:v>
      </x:c>
      <x:c r="H14" s="19" t="str">
        <x:v>Reported</x:v>
      </x:c>
      <x:c r="I14" s="43" t="str">
        <x:v>Gateway specific</x:v>
      </x:c>
    </x:row>
    <x:row r="15">
      <x:c r="A15" s="45" t="n">
        <x:v>46271</x:v>
      </x:c>
      <x:c r="B15" s="19" t="str">
        <x:v>Vercel</x:v>
      </x:c>
      <x:c r="C15" s="19" t="str">
        <x:v>DeepSeek token share</x:v>
      </x:c>
      <x:c r="D15" s="47" t="n">
        <x:v>0.413</x:v>
      </x:c>
      <x:c r="E15" s="19" t="str">
        <x:v>percent</x:v>
      </x:c>
      <x:c r="F15" s="19" t="str">
        <x:v>endpoint</x:v>
      </x:c>
      <x:c r="G15" s="19" t="str">
        <x:v>SRC-TOKEN-WE-SEP06-001</x:v>
      </x:c>
      <x:c r="H15" s="19" t="str">
        <x:v>Reported</x:v>
      </x:c>
      <x:c r="I15" s="43" t="str">
        <x:v>Lab-level share</x:v>
      </x:c>
    </x:row>
    <x:row r="16">
      <x:c r="A16" s="45" t="n">
        <x:v>46271</x:v>
      </x:c>
      <x:c r="B16" s="19" t="str">
        <x:v>Vercel</x:v>
      </x:c>
      <x:c r="C16" s="19" t="str">
        <x:v>DeepSeek spend share</x:v>
      </x:c>
      <x:c r="D16" s="47" t="n">
        <x:v>0.047</x:v>
      </x:c>
      <x:c r="E16" s="19" t="str">
        <x:v>percent</x:v>
      </x:c>
      <x:c r="F16" s="19" t="str">
        <x:v>endpoint</x:v>
      </x:c>
      <x:c r="G16" s="19" t="str">
        <x:v>SRC-TOKEN-WE-SEP06-001</x:v>
      </x:c>
      <x:c r="H16" s="19" t="str">
        <x:v>Reported</x:v>
      </x:c>
      <x:c r="I16" s="43" t="str">
        <x:v>Lab-level share</x:v>
      </x:c>
    </x:row>
    <x:row r="17">
      <x:c r="A17" s="45" t="n">
        <x:v>46271</x:v>
      </x:c>
      <x:c r="B17" s="19" t="str">
        <x:v>Vercel</x:v>
      </x:c>
      <x:c r="C17" s="19" t="str">
        <x:v>Anthropic token share</x:v>
      </x:c>
      <x:c r="D17" s="47" t="n">
        <x:v>0.115</x:v>
      </x:c>
      <x:c r="E17" s="19" t="str">
        <x:v>percent</x:v>
      </x:c>
      <x:c r="F17" s="19" t="str">
        <x:v>endpoint</x:v>
      </x:c>
      <x:c r="G17" s="19" t="str">
        <x:v>SRC-TOKEN-WE-SEP06-001</x:v>
      </x:c>
      <x:c r="H17" s="19" t="str">
        <x:v>Reported</x:v>
      </x:c>
      <x:c r="I17" s="43" t="str">
        <x:v>Lab-level share</x:v>
      </x:c>
    </x:row>
    <x:row r="18">
      <x:c r="A18" s="45" t="n">
        <x:v>46271</x:v>
      </x:c>
      <x:c r="B18" s="19" t="str">
        <x:v>Vercel</x:v>
      </x:c>
      <x:c r="C18" s="19" t="str">
        <x:v>Anthropic spend share</x:v>
      </x:c>
      <x:c r="D18" s="47" t="n">
        <x:v>0.548</x:v>
      </x:c>
      <x:c r="E18" s="19" t="str">
        <x:v>percent</x:v>
      </x:c>
      <x:c r="F18" s="19" t="str">
        <x:v>endpoint</x:v>
      </x:c>
      <x:c r="G18" s="19" t="str">
        <x:v>SRC-TOKEN-WE-SEP06-001</x:v>
      </x:c>
      <x:c r="H18" s="19" t="str">
        <x:v>Reported</x:v>
      </x:c>
      <x:c r="I18" s="43" t="str">
        <x:v>Lab-level share</x:v>
      </x:c>
    </x:row>
    <x:row r="19">
      <x:c r="A19" s="45" t="n">
        <x:v>46271</x:v>
      </x:c>
      <x:c r="B19" s="19" t="str">
        <x:v>Vercel</x:v>
      </x:c>
      <x:c r="C19" s="19" t="str">
        <x:v>OpenAI token share</x:v>
      </x:c>
      <x:c r="D19" s="47" t="n">
        <x:v>0.113</x:v>
      </x:c>
      <x:c r="E19" s="19" t="str">
        <x:v>percent</x:v>
      </x:c>
      <x:c r="F19" s="19" t="str">
        <x:v>endpoint</x:v>
      </x:c>
      <x:c r="G19" s="19" t="str">
        <x:v>SRC-TOKEN-WE-SEP06-001</x:v>
      </x:c>
      <x:c r="H19" s="19" t="str">
        <x:v>Reported</x:v>
      </x:c>
      <x:c r="I19" s="43" t="str">
        <x:v>Lab-level share</x:v>
      </x:c>
    </x:row>
    <x:row r="20">
      <x:c r="A20" s="46" t="n">
        <x:v>46271</x:v>
      </x:c>
      <x:c r="B20" s="20" t="str">
        <x:v>Vercel</x:v>
      </x:c>
      <x:c r="C20" s="20" t="str">
        <x:v>OpenAI spend share</x:v>
      </x:c>
      <x:c r="D20" s="48" t="n">
        <x:v>0.215</x:v>
      </x:c>
      <x:c r="E20" s="20" t="str">
        <x:v>percent</x:v>
      </x:c>
      <x:c r="F20" s="20" t="str">
        <x:v>endpoint</x:v>
      </x:c>
      <x:c r="G20" s="20" t="str">
        <x:v>SRC-TOKEN-WE-SEP06-001</x:v>
      </x:c>
      <x:c r="H20" s="20" t="str">
        <x:v>Reported</x:v>
      </x:c>
      <x:c r="I20" s="44" t="str">
        <x:v>Lab-level share</x:v>
      </x:c>
    </x:row>
  </x:sheetData>
  <x:pageMargins left="0.7" right="0.7" top="0.75" bottom="0.75" header="0.3" footer="0.3"/>
  <x:tableParts count="1">
    <x:tablePart xmlns:r="http://schemas.openxmlformats.org/officeDocument/2006/relationships" r:id="R0714630b43aa4eeb"/>
  </x:tableParts>
</x:worksheet>
</file>

<file path=xl/worksheets/sheet5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3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2" hidden="0" customWidth="1"/>
    <x:col min="9" max="9" width="16" hidden="0" customWidth="1"/>
    <x:col min="10" max="10" width="48" hidden="0" customWidth="1"/>
    <x:col min="11" max="11" width="18" hidden="0" customWidth="1"/>
    <x:col min="12" max="12" width="18" hidden="0" customWidth="1"/>
  </x:cols>
  <x:sheetData>
    <x:row r="2">
      <x:c r="A2" s="2" t="str">
        <x:v>Power and compute benchmarks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</x:row>
    <x:row r="3">
      <x:c r="A3" s="3" t="str">
        <x:v>All figures are per IT-load GW. Facility cost remains project-specific.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32" customHeight="1">
      <x:c r="A4" s="15" t="str">
        <x:v>Reference</x:v>
      </x:c>
      <x:c r="B4" s="16" t="str">
        <x:v>Architecture / site</x:v>
      </x:c>
      <x:c r="C4" s="16" t="str">
        <x:v>Compute content ($B / IT GW)</x:v>
      </x:c>
      <x:c r="D4" s="16" t="str">
        <x:v>Facility ($B / IT GW)</x:v>
      </x:c>
      <x:c r="E4" s="16" t="str">
        <x:v>Total ($B / IT GW)</x:v>
      </x:c>
      <x:c r="F4" s="16" t="str">
        <x:v>Revenue low ($B / IT GW-year)</x:v>
      </x:c>
      <x:c r="G4" s="16" t="str">
        <x:v>Revenue high ($B / IT GW-year)</x:v>
      </x:c>
      <x:c r="H4" s="16" t="str">
        <x:v>Source ID</x:v>
      </x:c>
      <x:c r="I4" s="16" t="str">
        <x:v>Evidence state</x:v>
      </x:c>
      <x:c r="J4" s="16" t="str">
        <x:v>Notes</x:v>
      </x:c>
      <x:c r="K4" s="16" t="str">
        <x:v>Gross payback low (years)</x:v>
      </x:c>
      <x:c r="L4" s="17" t="str">
        <x:v>Gross payback high (years)</x:v>
      </x:c>
    </x:row>
    <x:row r="5">
      <x:c r="A5" s="19" t="str">
        <x:v>xAI / SpaceX</x:v>
      </x:c>
      <x:c r="B5" s="19" t="str">
        <x:v>Blackwell-era brownfield</x:v>
      </x:c>
      <x:c r="C5" s="54" t="n">
        <x:v>24.8</x:v>
      </x:c>
      <x:c r="D5" s="54" t="n">
        <x:v>2.85</x:v>
      </x:c>
      <x:c r="E5" s="54" t="n">
        <x:v>27.7</x:v>
      </x:c>
      <x:c r="F5" s="54"/>
      <x:c r="G5" s="54"/>
      <x:c r="H5" s="19" t="str">
        <x:v>SRC-WB-P2S-001</x:v>
      </x:c>
      <x:c r="I5" s="19" t="str">
        <x:v>Derived</x:v>
      </x:c>
      <x:c r="J5" s="43" t="str">
        <x:v>Compute and facility figures share project denominator</x:v>
      </x:c>
      <x:c r="K5" s="56" t="str">
        <x:f>IF(OR(E5="",G5="",G5=0),"",E5/G5)</x:f>
      </x:c>
      <x:c r="L5" s="56" t="str">
        <x:f>IF(OR(E5="",F5="",F5=0),"",E5/F5)</x:f>
      </x:c>
    </x:row>
    <x:row r="6">
      <x:c r="A6" s="19" t="str">
        <x:v>Epoch AI</x:v>
      </x:c>
      <x:c r="B6" s="19" t="str">
        <x:v>Blackwell-era greenfield</x:v>
      </x:c>
      <x:c r="C6" s="54" t="n">
        <x:v>26.1</x:v>
      </x:c>
      <x:c r="D6" s="54" t="n">
        <x:v>11.4</x:v>
      </x:c>
      <x:c r="E6" s="54" t="n">
        <x:v>37.9</x:v>
      </x:c>
      <x:c r="F6" s="54" t="n">
        <x:v>10</x:v>
      </x:c>
      <x:c r="G6" s="54" t="n">
        <x:v>12</x:v>
      </x:c>
      <x:c r="H6" s="19" t="str">
        <x:v>SRC-WB-P2S-001</x:v>
      </x:c>
      <x:c r="I6" s="19" t="str">
        <x:v>Modeled</x:v>
      </x:c>
      <x:c r="J6" s="43" t="str">
        <x:v>Revenue range reflects market or spot estimate</x:v>
      </x:c>
      <x:c r="K6" s="56" t="n">
        <x:f>IF(OR(E6="",G6="",G6=0),"",E6/G6)</x:f>
        <x:v>3.158333333333333</x:v>
      </x:c>
      <x:c r="L6" s="56" t="n">
        <x:f>IF(OR(E6="",F6="",F6=0),"",E6/F6)</x:f>
        <x:v>3.79</x:v>
      </x:c>
    </x:row>
    <x:row r="7">
      <x:c r="A7" s="19" t="str">
        <x:v>Nscale / Anthropic</x:v>
      </x:c>
      <x:c r="B7" s="19" t="str">
        <x:v>Vera Rubin greenfield islanded</x:v>
      </x:c>
      <x:c r="C7" s="54" t="n">
        <x:v>34.8</x:v>
      </x:c>
      <x:c r="D7" s="54" t="n">
        <x:v>17.9</x:v>
      </x:c>
      <x:c r="E7" s="54" t="n">
        <x:v>52.7</x:v>
      </x:c>
      <x:c r="F7" s="54" t="n">
        <x:v>16.3</x:v>
      </x:c>
      <x:c r="G7" s="54" t="n">
        <x:v>16.3</x:v>
      </x:c>
      <x:c r="H7" s="19" t="str">
        <x:v>SRC-WB-NSCALE-001</x:v>
      </x:c>
      <x:c r="I7" s="19" t="str">
        <x:v>Derived</x:v>
      </x:c>
      <x:c r="J7" s="43" t="str">
        <x:v>Contracted rate; 2 GW onsite gas plus batteries for 1.35 GW IT</x:v>
      </x:c>
      <x:c r="K7" s="56" t="n">
        <x:f>IF(OR(E7="",G7="",G7=0),"",E7/G7)</x:f>
        <x:v>3.233128834355828</x:v>
      </x:c>
      <x:c r="L7" s="56" t="n">
        <x:f>IF(OR(E7="",F7="",F7=0),"",E7/F7)</x:f>
        <x:v>3.233128834355828</x:v>
      </x:c>
    </x:row>
    <x:row r="8">
      <x:c r="A8" s="19" t="str">
        <x:v>NVIDIA</x:v>
      </x:c>
      <x:c r="B8" s="19" t="str">
        <x:v>Hopper</x:v>
      </x:c>
      <x:c r="C8" s="54" t="n">
        <x:v>18</x:v>
      </x:c>
      <x:c r="D8" s="54"/>
      <x:c r="E8" s="54"/>
      <x:c r="F8" s="54"/>
      <x:c r="G8" s="54"/>
      <x:c r="H8" s="19" t="str">
        <x:v>SRC-NVDA-Q2FY27-001</x:v>
      </x:c>
      <x:c r="I8" s="19" t="str">
        <x:v>Reported</x:v>
      </x:c>
      <x:c r="J8" s="43" t="str">
        <x:v>VENDOR content only</x:v>
      </x:c>
      <x:c r="K8" s="56" t="str">
        <x:f>IF(OR(E8="",G8="",G8=0),"",E8/G8)</x:f>
      </x:c>
      <x:c r="L8" s="56" t="str">
        <x:f>IF(OR(E8="",F8="",F8=0),"",E8/F8)</x:f>
      </x:c>
    </x:row>
    <x:row r="9">
      <x:c r="A9" s="19" t="str">
        <x:v>NVIDIA</x:v>
      </x:c>
      <x:c r="B9" s="19" t="str">
        <x:v>Blackwell</x:v>
      </x:c>
      <x:c r="C9" s="54" t="n">
        <x:v>25</x:v>
      </x:c>
      <x:c r="D9" s="54"/>
      <x:c r="E9" s="54"/>
      <x:c r="F9" s="54"/>
      <x:c r="G9" s="54"/>
      <x:c r="H9" s="19" t="str">
        <x:v>SRC-NVDA-Q2FY27-001</x:v>
      </x:c>
      <x:c r="I9" s="19" t="str">
        <x:v>Reported</x:v>
      </x:c>
      <x:c r="J9" s="43" t="str">
        <x:v>VENDOR content only</x:v>
      </x:c>
      <x:c r="K9" s="56" t="str">
        <x:f>IF(OR(E9="",G9="",G9=0),"",E9/G9)</x:f>
      </x:c>
      <x:c r="L9" s="56" t="str">
        <x:f>IF(OR(E9="",F9="",F9=0),"",E9/F9)</x:f>
      </x:c>
    </x:row>
    <x:row r="10">
      <x:c r="A10" s="19" t="str">
        <x:v>NVIDIA</x:v>
      </x:c>
      <x:c r="B10" s="19" t="str">
        <x:v>Vera Rubin</x:v>
      </x:c>
      <x:c r="C10" s="54" t="n">
        <x:v>40</x:v>
      </x:c>
      <x:c r="D10" s="54"/>
      <x:c r="E10" s="54"/>
      <x:c r="F10" s="54"/>
      <x:c r="G10" s="54"/>
      <x:c r="H10" s="19" t="str">
        <x:v>SRC-NVDA-Q2FY27-001</x:v>
      </x:c>
      <x:c r="I10" s="19" t="str">
        <x:v>Reported</x:v>
      </x:c>
      <x:c r="J10" s="43" t="str">
        <x:v>VENDOR content only</x:v>
      </x:c>
      <x:c r="K10" s="56" t="str">
        <x:f>IF(OR(E10="",G10="",G10=0),"",E10/G10)</x:f>
      </x:c>
      <x:c r="L10" s="56" t="str">
        <x:f>IF(OR(E10="",F10="",F10=0),"",E10/F10)</x:f>
      </x:c>
    </x:row>
    <x:row r="11">
      <x:c r="A11" s="19" t="str">
        <x:v>OpenAI / Stargate</x:v>
      </x:c>
      <x:c r="B11" s="19" t="str">
        <x:v>Unspecified</x:v>
      </x:c>
      <x:c r="C11" s="54" t="n">
        <x:v>24.7</x:v>
      </x:c>
      <x:c r="D11" s="54"/>
      <x:c r="E11" s="54"/>
      <x:c r="F11" s="54"/>
      <x:c r="G11" s="54"/>
      <x:c r="H11" s="19" t="str">
        <x:v>SRC-WB-P2S-001</x:v>
      </x:c>
      <x:c r="I11" s="19" t="str">
        <x:v>Derived</x:v>
      </x:c>
      <x:c r="J11" s="43" t="str">
        <x:v>Per GW IT load</x:v>
      </x:c>
      <x:c r="K11" s="56" t="str">
        <x:f>IF(OR(E11="",G11="",G11=0),"",E11/G11)</x:f>
      </x:c>
      <x:c r="L11" s="56" t="str">
        <x:f>IF(OR(E11="",F11="",F11=0),"",E11/F11)</x:f>
      </x:c>
    </x:row>
    <x:row r="12">
      <x:c r="A12" s="19" t="str">
        <x:v>XPV</x:v>
      </x:c>
      <x:c r="B12" s="19" t="str">
        <x:v>Unspecified</x:v>
      </x:c>
      <x:c r="C12" s="54" t="n">
        <x:v>35</x:v>
      </x:c>
      <x:c r="D12" s="54"/>
      <x:c r="E12" s="54" t="n">
        <x:v>35</x:v>
      </x:c>
      <x:c r="F12" s="54"/>
      <x:c r="G12" s="54"/>
      <x:c r="H12" s="19" t="str">
        <x:v>SRC-WB-P2S-001</x:v>
      </x:c>
      <x:c r="I12" s="19" t="str">
        <x:v>Derived</x:v>
      </x:c>
      <x:c r="J12" s="43" t="str">
        <x:v>All-in tranche figure; perimeter needs continuing review</x:v>
      </x:c>
      <x:c r="K12" s="56" t="str">
        <x:f>IF(OR(E12="",G12="",G12=0),"",E12/G12)</x:f>
      </x:c>
      <x:c r="L12" s="56" t="str">
        <x:f>IF(OR(E12="",F12="",F12=0),"",E12/F12)</x:f>
      </x:c>
    </x:row>
    <x:row r="13">
      <x:c r="A13" s="20" t="str">
        <x:v>Broadcom</x:v>
      </x:c>
      <x:c r="B13" s="20" t="str">
        <x:v>Custom silicon</x:v>
      </x:c>
      <x:c r="C13" s="55" t="n">
        <x:v>11.5</x:v>
      </x:c>
      <x:c r="D13" s="55"/>
      <x:c r="E13" s="55"/>
      <x:c r="F13" s="55"/>
      <x:c r="G13" s="55"/>
      <x:c r="H13" s="20" t="str">
        <x:v>SRC-WB-P2S-001</x:v>
      </x:c>
      <x:c r="I13" s="20" t="str">
        <x:v>Derived</x:v>
      </x:c>
      <x:c r="J13" s="44" t="str">
        <x:v>Custom silicon only</x:v>
      </x:c>
      <x:c r="K13" s="57" t="str">
        <x:f>IF(OR(E13="",G13="",G13=0),"",E13/G13)</x:f>
      </x:c>
      <x:c r="L13" s="57" t="str">
        <x:f>IF(OR(E13="",F13="",F13=0),"",E13/F13)</x:f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8E9AA3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3" hidden="0" customWidth="1"/>
    <x:col min="3" max="3" width="24" hidden="0" customWidth="1"/>
    <x:col min="4" max="4" width="38" hidden="0" customWidth="1"/>
    <x:col min="5" max="5" width="22" hidden="0" customWidth="1"/>
    <x:col min="6" max="6" width="58" hidden="0" customWidth="1"/>
    <x:col min="7" max="7" width="42" hidden="0" customWidth="1"/>
    <x:col min="8" max="8" width="20" hidden="0" customWidth="1"/>
    <x:col min="9" max="9" width="46" hidden="0" customWidth="1"/>
  </x:cols>
  <x:sheetData>
    <x:row r="2">
      <x:c r="A2" s="2" t="str">
        <x:v>Source register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3" t="str">
        <x:v>Every hard-coded observation should resolve to one source ID here.</x:v>
      </x:c>
      <x:c r="B3" s="3"/>
      <x:c r="C3" s="3"/>
      <x:c r="D3" s="3"/>
      <x:c r="E3" s="3"/>
      <x:c r="F3" s="3"/>
      <x:c r="G3" s="3"/>
      <x:c r="H3" s="3"/>
      <x:c r="I3" s="3"/>
    </x:row>
    <x:row r="4" ht="32" customHeight="1">
      <x:c r="A4" s="15" t="str">
        <x:v>Source ID</x:v>
      </x:c>
      <x:c r="B4" s="16" t="str">
        <x:v>Date</x:v>
      </x:c>
      <x:c r="C4" s="16" t="str">
        <x:v>Publisher</x:v>
      </x:c>
      <x:c r="D4" s="16" t="str">
        <x:v>Title</x:v>
      </x:c>
      <x:c r="E4" s="16" t="str">
        <x:v>Artifact type</x:v>
      </x:c>
      <x:c r="F4" s="16" t="str">
        <x:v>Url</x:v>
      </x:c>
      <x:c r="G4" s="16" t="str">
        <x:v>Supports</x:v>
      </x:c>
      <x:c r="H4" s="16" t="str">
        <x:v>Status</x:v>
      </x:c>
      <x:c r="I4" s="17" t="str">
        <x:v>Notes</x:v>
      </x:c>
    </x:row>
    <x:row r="5">
      <x:c r="A5" s="19" t="str">
        <x:v>SRC-CHAT-001</x:v>
      </x:c>
      <x:c r="B5" s="45" t="n">
        <x:v>46273</x:v>
      </x:c>
      <x:c r="C5" s="19" t="str">
        <x:v>Jake / ChatGPT</x:v>
      </x:c>
      <x:c r="D5" s="43" t="str">
        <x:v>Full originating MW/$ project chat</x:v>
      </x:c>
      <x:c r="E5" s="43" t="str">
        <x:v>Project conversation</x:v>
      </x:c>
      <x:c r="F5" s="43"/>
      <x:c r="G5" s="43" t="str">
        <x:v>Company-specific method configuration</x:v>
      </x:c>
      <x:c r="H5" s="43" t="str">
        <x:v>Canonical internal source</x:v>
      </x:c>
      <x:c r="I5" s="43" t="str">
        <x:v>Added to this project in full by Jake</x:v>
      </x:c>
    </x:row>
    <x:row r="6">
      <x:c r="A6" s="19" t="str">
        <x:v>SRC-WB-P2S-001</x:v>
      </x:c>
      <x:c r="B6" s="45" t="n">
        <x:v>46269</x:v>
      </x:c>
      <x:c r="C6" s="19" t="str">
        <x:v>Wiki-Brain</x:v>
      </x:c>
      <x:c r="D6" s="43" t="str">
        <x:v>Power-to-Silicon Thesis</x:v>
      </x:c>
      <x:c r="E6" s="43" t="str">
        <x:v>Markdown</x:v>
      </x:c>
      <x:c r="F6" s="43" t="str">
        <x:v>https://github.com/smsyt4sjvc-crypto/Wiki-Brain/blob/main/wiki/power-to-silicon-thesis.md</x:v>
      </x:c>
      <x:c r="G6" s="43" t="str">
        <x:v>Power conversion capex per GW revenue per GW and correction history</x:v>
      </x:c>
      <x:c r="H6" s="43" t="str">
        <x:v>Read-only reference</x:v>
      </x:c>
      <x:c r="I6" s="43" t="str">
        <x:v>Do not modify Wiki-Brain</x:v>
      </x:c>
    </x:row>
    <x:row r="7">
      <x:c r="A7" s="19" t="str">
        <x:v>SRC-WB-NSCALE-001</x:v>
      </x:c>
      <x:c r="B7" s="45" t="n">
        <x:v>46260</x:v>
      </x:c>
      <x:c r="C7" s="19" t="str">
        <x:v>Wiki-Brain</x:v>
      </x:c>
      <x:c r="D7" s="43" t="str">
        <x:v>Anthropic x Nscale West Virginia unit economics</x:v>
      </x:c>
      <x:c r="E7" s="43" t="str">
        <x:v>Markdown</x:v>
      </x:c>
      <x:c r="F7" s="43" t="str">
        <x:v>https://github.com/smsyt4sjvc-crypto/Wiki-Brain/blob/main/wiki/ai-financing-fragility.md</x:v>
      </x:c>
      <x:c r="G7" s="43" t="str">
        <x:v>Nscale contract and project economics</x:v>
      </x:c>
      <x:c r="H7" s="43" t="str">
        <x:v>Read-only reference</x:v>
      </x:c>
      <x:c r="I7" s="43" t="str">
        <x:v>See entry dated 2026-08-26</x:v>
      </x:c>
    </x:row>
    <x:row r="8">
      <x:c r="A8" s="19" t="str">
        <x:v>SRC-WB-CRWV-001</x:v>
      </x:c>
      <x:c r="B8" s="45" t="n">
        <x:v>46247</x:v>
      </x:c>
      <x:c r="C8" s="19" t="str">
        <x:v>Wiki-Brain</x:v>
      </x:c>
      <x:c r="D8" s="43" t="str">
        <x:v>CoreWeave active-power and revenue identity</x:v>
      </x:c>
      <x:c r="E8" s="43" t="str">
        <x:v>Markdown</x:v>
      </x:c>
      <x:c r="F8" s="43" t="str">
        <x:v>https://github.com/smsyt4sjvc-crypto/Wiki-Brain/blob/main/wiki/ai-financing-fragility.md</x:v>
      </x:c>
      <x:c r="G8" s="43" t="str">
        <x:v>CoreWeave method constraints and active MW</x:v>
      </x:c>
      <x:c r="H8" s="43" t="str">
        <x:v>Read-only reference</x:v>
      </x:c>
      <x:c r="I8" s="43" t="str">
        <x:v>Period-average MW still required</x:v>
      </x:c>
    </x:row>
    <x:row r="9">
      <x:c r="A9" s="19" t="str">
        <x:v>SRC-VERCEL-JUL26-001</x:v>
      </x:c>
      <x:c r="B9" s="45" t="n">
        <x:v>46245</x:v>
      </x:c>
      <x:c r="C9" s="19" t="str">
        <x:v>Vercel</x:v>
      </x:c>
      <x:c r="D9" s="43" t="str">
        <x:v>DeepSeek overtakes Google on volume cost per token falls 13.6 percent</x:v>
      </x:c>
      <x:c r="E9" s="43" t="str">
        <x:v>Web</x:v>
      </x:c>
      <x:c r="F9" s="43" t="str">
        <x:v>https://vercel.com/blog/deepseek-overtakes-google-on-volume-cost-per-token-falls</x:v>
      </x:c>
      <x:c r="G9" s="43" t="str">
        <x:v>July volume price spend and mix</x:v>
      </x:c>
      <x:c r="H9" s="43" t="str">
        <x:v>Primary</x:v>
      </x:c>
      <x:c r="I9" s="43" t="str">
        <x:v>Gateway sample not global market</x:v>
      </x:c>
    </x:row>
    <x:row r="10">
      <x:c r="A10" s="19" t="str">
        <x:v>SRC-SD-SEP02-001</x:v>
      </x:c>
      <x:c r="B10" s="45" t="n">
        <x:v>46267</x:v>
      </x:c>
      <x:c r="C10" s="19" t="str">
        <x:v>Silicon Data</x:v>
      </x:c>
      <x:c r="D10" s="43" t="str">
        <x:v>Open versus Proprietary LLM decomposition</x:v>
      </x:c>
      <x:c r="E10" s="43" t="str">
        <x:v>Account dashboard snapshot</x:v>
      </x:c>
      <x:c r="F10" s="43" t="str">
        <x:v>https://github.com/smsyt4sjvc-crypto/Wiki-Brain/blob/main/raw/2026-09-03-silicon-data-open-vs-proprietary-decomposition.txt</x:v>
      </x:c>
      <x:c r="G10" s="43" t="str">
        <x:v>Open proprietary broad token expenditure and H100 rent</x:v>
      </x:c>
      <x:c r="H10" s="43" t="str">
        <x:v>Primary snapshot</x:v>
      </x:c>
      <x:c r="I10" s="43" t="str">
        <x:v>Usage-weighted effective expenditure</x:v>
      </x:c>
    </x:row>
    <x:row r="11">
      <x:c r="A11" s="19" t="str">
        <x:v>SRC-TOKEN-WE-SEP06-001</x:v>
      </x:c>
      <x:c r="B11" s="45" t="n">
        <x:v>46271</x:v>
      </x:c>
      <x:c r="C11" s="19" t="str">
        <x:v>MW/$ prior chat</x:v>
      </x:c>
      <x:c r="D11" s="43" t="str">
        <x:v>AI Token Economics week ending September 6</x:v>
      </x:c>
      <x:c r="E11" s="43" t="str">
        <x:v>Research brief</x:v>
      </x:c>
      <x:c r="F11" s="43" t="str">
        <x:v>https://github.com/smsyt4sjvc-crypto/Wiki-Brain/blob/main/raw/2026-09-06-ai-token-economics-weekly-plus-usage-segmentation.txt</x:v>
      </x:c>
      <x:c r="G11" s="43" t="str">
        <x:v>Silicon Data Vercel routing mix and enterprise segmentation</x:v>
      </x:c>
      <x:c r="H11" s="43" t="str">
        <x:v>Compiled with source labels</x:v>
      </x:c>
      <x:c r="I11" s="43" t="str">
        <x:v>Verify constituent primaries on refresh</x:v>
      </x:c>
    </x:row>
    <x:row r="12">
      <x:c r="A12" s="19" t="str">
        <x:v>SRC-TOKEN-AUG19-001</x:v>
      </x:c>
      <x:c r="B12" s="45" t="n">
        <x:v>46253</x:v>
      </x:c>
      <x:c r="C12" s="19" t="str">
        <x:v>MW/$ prior chat</x:v>
      </x:c>
      <x:c r="D12" s="43" t="str">
        <x:v>AI Token Economics Jevons report</x:v>
      </x:c>
      <x:c r="E12" s="43" t="str">
        <x:v>Research brief</x:v>
      </x:c>
      <x:c r="F12" s="43" t="str">
        <x:v>https://github.com/smsyt4sjvc-crypto/Wiki-Brain/blob/main/raw/2026-08-19-ai-token-economics-jevons-report.txt</x:v>
      </x:c>
      <x:c r="G12" s="43" t="str">
        <x:v>Formulas price ladder Vercel OpenRouter Google and sources</x:v>
      </x:c>
      <x:c r="H12" s="43" t="str">
        <x:v>Compiled with primary links</x:v>
      </x:c>
      <x:c r="I12" s="43" t="str">
        <x:v>Use original linked sources for current refresh</x:v>
      </x:c>
    </x:row>
    <x:row r="13">
      <x:c r="A13" s="19" t="str">
        <x:v>SRC-NVDA-Q2FY27-001</x:v>
      </x:c>
      <x:c r="B13" s="45" t="n">
        <x:v>46260</x:v>
      </x:c>
      <x:c r="C13" s="19" t="str">
        <x:v>NVIDIA</x:v>
      </x:c>
      <x:c r="D13" s="43" t="str">
        <x:v>Q2 FY2027 earnings call</x:v>
      </x:c>
      <x:c r="E13" s="43" t="str">
        <x:v>Transcript</x:v>
      </x:c>
      <x:c r="F13" s="43" t="str">
        <x:v>https://investor.nvidia.com/</x:v>
      </x:c>
      <x:c r="G13" s="43" t="str">
        <x:v>Hopper Blackwell and Rubin content per GW</x:v>
      </x:c>
      <x:c r="H13" s="43" t="str">
        <x:v>Primary</x:v>
      </x:c>
      <x:c r="I13" s="43" t="str">
        <x:v>Exact transcript URL to pin on refresh</x:v>
      </x:c>
    </x:row>
    <x:row r="14">
      <x:c r="A14" s="19" t="str">
        <x:v>SRC-XAI-GS-RECAP-20260910</x:v>
      </x:c>
      <x:c r="B14" s="45" t="n">
        <x:v>46275</x:v>
      </x:c>
      <x:c r="C14" s="19" t="str">
        <x:v>User-supplied Goldman recap</x:v>
      </x:c>
      <x:c r="D14" s="43" t="str">
        <x:v>SpaceX CFO Communacopia recap</x:v>
      </x:c>
      <x:c r="E14" s="43" t="str">
        <x:v>Project message</x:v>
      </x:c>
      <x:c r="F14" s="43"/>
      <x:c r="G14" s="43" t="str">
        <x:v>Monetization guidance and capacity targets</x:v>
      </x:c>
      <x:c r="H14" s="43" t="str">
        <x:v>Attributed recap</x:v>
      </x:c>
      <x:c r="I14" s="43" t="str">
        <x:v>Raw recap in raw/2026-09-10-spacex-goldman-recap.md</x:v>
      </x:c>
    </x:row>
    <x:row r="15">
      <x:c r="A15" s="19" t="str">
        <x:v>SRC-XAI-GS-QA-20260910</x:v>
      </x:c>
      <x:c r="B15" s="45" t="n">
        <x:v>46275</x:v>
      </x:c>
      <x:c r="C15" s="19" t="str">
        <x:v>Bret Johnsen via Investing.com</x:v>
      </x:c>
      <x:c r="D15" s="43" t="str">
        <x:v>SpaceX Communacopia full Q&amp;A</x:v>
      </x:c>
      <x:c r="E15" s="43" t="str">
        <x:v>Published transcript</x:v>
      </x:c>
      <x:c r="F15" s="43" t="str">
        <x:v>https://www.investing.com/news/transcripts/spacex-at-goldman-sachs-communacopia--technology-conference-2026-compute-push-93CH-4896834</x:v>
      </x:c>
      <x:c r="G15" s="43" t="str">
        <x:v>Monetization and new hosting deal terms</x:v>
      </x:c>
      <x:c r="H15" s="43" t="str">
        <x:v>Management claims</x:v>
      </x:c>
      <x:c r="I15" s="43" t="str">
        <x:v>Use Q&amp;A; introductory summary misdates years; audio not reviewed</x:v>
      </x:c>
    </x:row>
    <x:row r="16">
      <x:c r="A16" s="19" t="str">
        <x:v>SRC-XAI-GS-EVENT-20260910</x:v>
      </x:c>
      <x:c r="B16" s="45" t="n">
        <x:v>46275</x:v>
      </x:c>
      <x:c r="C16" s="19" t="str">
        <x:v>SpaceX investor relations</x:v>
      </x:c>
      <x:c r="D16" s="43" t="str">
        <x:v>Goldman Sachs Communacopia event</x:v>
      </x:c>
      <x:c r="E16" s="43" t="str">
        <x:v>Issuer event page</x:v>
      </x:c>
      <x:c r="F16" s="43" t="str">
        <x:v>https://ir.spacex.com/events/event-details/2026/Goldman-Sachs-2026-Communacopia-and-Technology-Conference-2026-u70jsP31xi/default.aspx</x:v>
      </x:c>
      <x:c r="G16" s="43" t="str">
        <x:v>Event date and replay location</x:v>
      </x:c>
      <x:c r="H16" s="43" t="str">
        <x:v>Primary</x:v>
      </x:c>
      <x:c r="I16" s="43" t="str">
        <x:v>September 10 2026 12:25 PM PT; no financial figures on this page</x:v>
      </x:c>
    </x:row>
    <x:row r="17">
      <x:c r="A17" s="19" t="str">
        <x:v>SRC-ORCL-Q1FY27-20260910</x:v>
      </x:c>
      <x:c r="B17" s="45" t="n">
        <x:v>46275</x:v>
      </x:c>
      <x:c r="C17" s="19" t="str">
        <x:v>Oracle / SEC</x:v>
      </x:c>
      <x:c r="D17" s="43" t="str">
        <x:v>Q1 FY2027 earnings release and financial tables</x:v>
      </x:c>
      <x:c r="E17" s="43" t="str">
        <x:v>8-K Exhibit 99.1</x:v>
      </x:c>
      <x:c r="F17" s="43" t="str">
        <x:v>https://www.sec.gov/Archives/edgar/data/1341439/000119312526387905/orcl-ex99_1.htm</x:v>
      </x:c>
      <x:c r="G17" s="43" t="str">
        <x:v>Oracle OCI 2026-09-11 review</x:v>
      </x:c>
      <x:c r="H17" s="43" t="str">
        <x:v>primary_read</x:v>
      </x:c>
      <x:c r="I17" s="43" t="str">
        <x:v>Opening highlights; financial tables pp. 4-5: Cash Flows, Free Cash Flow, Net Cash Outlay; notes (2)-(3)</x:v>
      </x:c>
    </x:row>
    <x:row r="18">
      <x:c r="A18" s="19" t="str">
        <x:v>SRC-ORCL-10K-FY26</x:v>
      </x:c>
      <x:c r="B18" s="45" t="n">
        <x:v>46195</x:v>
      </x:c>
      <x:c r="C18" s="19" t="str">
        <x:v>Oracle / SEC</x:v>
      </x:c>
      <x:c r="D18" s="43" t="str">
        <x:v>FY2026 Form 10-K</x:v>
      </x:c>
      <x:c r="E18" s="43" t="str">
        <x:v>10-K</x:v>
      </x:c>
      <x:c r="F18" s="43" t="str">
        <x:v>https://www.sec.gov/Archives/edgar/data/1341439/000119312526277521/orcl-20260531.htm</x:v>
      </x:c>
      <x:c r="G18" s="43" t="str">
        <x:v>Oracle OCI 2026-09-11 review</x:v>
      </x:c>
      <x:c r="H18" s="43" t="str">
        <x:v>primary_read</x:v>
      </x:c>
      <x:c r="I18" s="43" t="str">
        <x:v>Note 4 p.81; Note 9 pp.88-90; MD&amp;A p.55; Note 1 p.72</x:v>
      </x:c>
    </x:row>
    <x:row r="19">
      <x:c r="A19" s="19" t="str">
        <x:v>SRC-ORCL-10Q-Q3FY26</x:v>
      </x:c>
      <x:c r="B19" s="45" t="n">
        <x:v>46092</x:v>
      </x:c>
      <x:c r="C19" s="19" t="str">
        <x:v>Oracle / SEC</x:v>
      </x:c>
      <x:c r="D19" s="43" t="str">
        <x:v>Q3 FY2026 Form 10-Q</x:v>
      </x:c>
      <x:c r="E19" s="43" t="str">
        <x:v>10-Q</x:v>
      </x:c>
      <x:c r="F19" s="43" t="str">
        <x:v>https://www.sec.gov/Archives/edgar/data/1341439/000119312526101045/orcl-20260228.htm</x:v>
      </x:c>
      <x:c r="G19" s="43" t="str">
        <x:v>Oracle OCI 2026-09-11 review</x:v>
      </x:c>
      <x:c r="H19" s="43" t="str">
        <x:v>primary_read</x:v>
      </x:c>
      <x:c r="I19" s="43" t="str">
        <x:v>Note 6 pp.12-14: Leases, Other Commitments and Certain Contingencies</x:v>
      </x:c>
    </x:row>
    <x:row r="20">
      <x:c r="A20" s="19" t="str">
        <x:v>SRC-ORCL-CEO-20260612</x:v>
      </x:c>
      <x:c r="B20" s="45" t="n">
        <x:v>46185</x:v>
      </x:c>
      <x:c r="C20" s="19" t="str">
        <x:v>Oracle</x:v>
      </x:c>
      <x:c r="D20" s="43" t="str">
        <x:v>From the Q4 Earnings Call: Driving Sustainable Growth Through Durable Differentiation</x:v>
      </x:c>
      <x:c r="E20" s="43" t="str">
        <x:v>issuer_prepared_remarks</x:v>
      </x:c>
      <x:c r="F20" s="43" t="str">
        <x:v>https://blogs.oracle.com/ceo/from-the-q4-earnings-call</x:v>
      </x:c>
      <x:c r="G20" s="43" t="str">
        <x:v>Oracle OCI 2026-09-11 review</x:v>
      </x:c>
      <x:c r="H20" s="43" t="str">
        <x:v>primary_read</x:v>
      </x:c>
      <x:c r="I20" s="43" t="str">
        <x:v>Enabling scale while growing profitability; Accelerating delivery; five largest sites</x:v>
      </x:c>
    </x:row>
    <x:row r="21">
      <x:c r="A21" s="19" t="str">
        <x:v>SRC-ORCL-ESG-FY25</x:v>
      </x:c>
      <x:c r="B21" s="45" t="str">
        <x:v>2026-02</x:v>
      </x:c>
      <x:c r="C21" s="19" t="str">
        <x:v>Oracle</x:v>
      </x:c>
      <x:c r="D21" s="43" t="str">
        <x:v>Environmental and Social Impact FY25 Datasheet Version 6</x:v>
      </x:c>
      <x:c r="E21" s="43" t="str">
        <x:v>sustainability_report</x:v>
      </x:c>
      <x:c r="F21" s="43" t="str">
        <x:v>https://www.oracle.com/it/a/ocom/docs/social-impact-datasheet.pdf</x:v>
      </x:c>
      <x:c r="G21" s="43" t="str">
        <x:v>Oracle OCI 2026-09-11 review</x:v>
      </x:c>
      <x:c r="H21" s="43" t="str">
        <x:v>primary_read</x:v>
      </x:c>
      <x:c r="I21" s="43" t="str">
        <x:v>p.3 Energy and Renewables; p.6 footnotes vii-ix</x:v>
      </x:c>
    </x:row>
    <x:row r="22">
      <x:c r="A22" s="19" t="str">
        <x:v>SRC-ORCL-CARBON-20250630</x:v>
      </x:c>
      <x:c r="B22" s="45" t="n">
        <x:v>45838</x:v>
      </x:c>
      <x:c r="C22" s="19" t="str">
        <x:v>Oracle</x:v>
      </x:c>
      <x:c r="D22" s="43" t="str">
        <x:v>OCI Carbon Emissions Analysis: power-based calculations</x:v>
      </x:c>
      <x:c r="E22" s="43" t="str">
        <x:v>issuer_methodology</x:v>
      </x:c>
      <x:c r="F22" s="43" t="str">
        <x:v>https://blogs.oracle.com/sustainability/oci-carbon-emissions-power-based-calculations</x:v>
      </x:c>
      <x:c r="G22" s="43" t="str">
        <x:v>Oracle OCI 2026-09-11 review</x:v>
      </x:c>
      <x:c r="H22" s="43" t="str">
        <x:v>primary_read</x:v>
      </x:c>
      <x:c r="I22" s="43" t="str">
        <x:v>What are power-based emissions; reporting experience</x:v>
      </x:c>
    </x:row>
    <x:row r="23">
      <x:c r="A23" s="19" t="str">
        <x:v>SRC-ORCL-CARBON-202302</x:v>
      </x:c>
      <x:c r="B23" s="45" t="str">
        <x:v>2023-02</x:v>
      </x:c>
      <x:c r="C23" s="19" t="str">
        <x:v>Oracle</x:v>
      </x:c>
      <x:c r="D23" s="43" t="str">
        <x:v>Technical Carbon Calculation Guidance v1.0</x:v>
      </x:c>
      <x:c r="E23" s="43" t="str">
        <x:v>technical_brief</x:v>
      </x:c>
      <x:c r="F23" s="43" t="str">
        <x:v>https://www.oracle.com/a/ocom/docs/corporate/technical-carbon-calculation-guidance.pdf</x:v>
      </x:c>
      <x:c r="G23" s="43" t="str">
        <x:v>Oracle OCI 2026-09-11 review</x:v>
      </x:c>
      <x:c r="H23" s="43" t="str">
        <x:v>primary_read</x:v>
      </x:c>
      <x:c r="I23" s="43" t="str">
        <x:v>pp.4-6 carbon boundary and calculation methodology</x:v>
      </x:c>
    </x:row>
    <x:row r="24">
      <x:c r="A24" s="19" t="str">
        <x:v>SRC-ORCL-GREEN-CLOUD-20260911</x:v>
      </x:c>
      <x:c r="B24" s="45" t="n">
        <x:v>46276</x:v>
      </x:c>
      <x:c r="C24" s="19" t="str">
        <x:v>Oracle</x:v>
      </x:c>
      <x:c r="D24" s="43" t="str">
        <x:v>Oracle Cloud sustainability</x:v>
      </x:c>
      <x:c r="E24" s="43" t="str">
        <x:v>issuer_webpage</x:v>
      </x:c>
      <x:c r="F24" s="43" t="str">
        <x:v>https://www.oracle.com/sustainability/green-cloud/</x:v>
      </x:c>
      <x:c r="G24" s="43" t="str">
        <x:v>Oracle OCI 2026-09-11 review</x:v>
      </x:c>
      <x:c r="H24" s="43" t="str">
        <x:v>primary_read</x:v>
      </x:c>
      <x:c r="I24" s="43" t="str">
        <x:v>Clean cloud; Measurement; linked datasheets</x:v>
      </x:c>
    </x:row>
    <x:row r="25">
      <x:c r="A25" s="19" t="str">
        <x:v>SRC-OPENAI-ORACLE-20250722</x:v>
      </x:c>
      <x:c r="B25" s="45" t="n">
        <x:v>45860</x:v>
      </x:c>
      <x:c r="C25" s="19" t="str">
        <x:v>OpenAI</x:v>
      </x:c>
      <x:c r="D25" s="43" t="str">
        <x:v>Stargate advances with 4.5 GW partnership with Oracle</x:v>
      </x:c>
      <x:c r="E25" s="43" t="str">
        <x:v>counterparty_announcement</x:v>
      </x:c>
      <x:c r="F25" s="43" t="str">
        <x:v>https://openai.com/index/stargate-advances-with-partnership-with-oracle/</x:v>
      </x:c>
      <x:c r="G25" s="43" t="str">
        <x:v>Oracle OCI 2026-09-11 review</x:v>
      </x:c>
      <x:c r="H25" s="43" t="str">
        <x:v>primary_read</x:v>
      </x:c>
      <x:c r="I25" s="43" t="str">
        <x:v>Opening agreement; Abilene initial workloads</x:v>
      </x:c>
    </x:row>
    <x:row r="26">
      <x:c r="A26" s="19" t="str">
        <x:v>SRC-OPENAI-STARGATE-20250923</x:v>
      </x:c>
      <x:c r="B26" s="45" t="n">
        <x:v>45923</x:v>
      </x:c>
      <x:c r="C26" s="19" t="str">
        <x:v>OpenAI</x:v>
      </x:c>
      <x:c r="D26" s="43" t="str">
        <x:v>Five new Stargate sites</x:v>
      </x:c>
      <x:c r="E26" s="43" t="str">
        <x:v>counterparty_announcement</x:v>
      </x:c>
      <x:c r="F26" s="43" t="str">
        <x:v>https://openai.com/index/five-new-stargate-sites/</x:v>
      </x:c>
      <x:c r="G26" s="43" t="str">
        <x:v>Oracle OCI 2026-09-11 review</x:v>
      </x:c>
      <x:c r="H26" s="43" t="str">
        <x:v>primary_read</x:v>
      </x:c>
      <x:c r="I26" s="43" t="str">
        <x:v>Oracle partnership paragraphs; Wisconsin update</x:v>
      </x:c>
    </x:row>
    <x:row r="27">
      <x:c r="A27" s="19" t="str">
        <x:v>SRC-CRUSOE-ABILENE-20250521</x:v>
      </x:c>
      <x:c r="B27" s="45" t="n">
        <x:v>45798</x:v>
      </x:c>
      <x:c r="C27" s="19" t="str">
        <x:v>Crusoe</x:v>
      </x:c>
      <x:c r="D27" s="43" t="str">
        <x:v>Second phase of USD15 billion Abilene joint venture</x:v>
      </x:c>
      <x:c r="E27" s="43" t="str">
        <x:v>counterparty_project_financing</x:v>
      </x:c>
      <x:c r="F27" s="43" t="str">
        <x:v>https://www.crusoe.ai/resources/newsroom/crusoe-blue-owl-capital-and-primary-digital-infrastructure-enter-joint-venture</x:v>
      </x:c>
      <x:c r="G27" s="43" t="str">
        <x:v>Oracle OCI 2026-09-11 review</x:v>
      </x:c>
      <x:c r="H27" s="43" t="str">
        <x:v>primary_read</x:v>
      </x:c>
      <x:c r="I27" s="43" t="str">
        <x:v>Opening JV terms; phase schedule; cooling design</x:v>
      </x:c>
    </x:row>
    <x:row r="28">
      <x:c r="A28" s="19" t="str">
        <x:v>SRC-ORCL-REVOLVER-20260306</x:v>
      </x:c>
      <x:c r="B28" s="45" t="n">
        <x:v>46092</x:v>
      </x:c>
      <x:c r="C28" s="19" t="str">
        <x:v>Oracle / SEC</x:v>
      </x:c>
      <x:c r="D28" s="43" t="str">
        <x:v>USD10 billion revolving credit agreement dated March 6 2026</x:v>
      </x:c>
      <x:c r="E28" s="43" t="str">
        <x:v>10-Q Exhibit 10.17</x:v>
      </x:c>
      <x:c r="F28" s="43" t="str">
        <x:v>https://www.sec.gov/Archives/edgar/data/1341439/000119312526101045/orcl-ex10_17.htm</x:v>
      </x:c>
      <x:c r="G28" s="43" t="str">
        <x:v>Oracle OCI 2026-09-11 review</x:v>
      </x:c>
      <x:c r="H28" s="43" t="str">
        <x:v>primary_read</x:v>
      </x:c>
      <x:c r="I28" s="43" t="str">
        <x:v>Cover; sections 2.01, 2.08, 2.21 and 6.02</x:v>
      </x:c>
    </x:row>
    <x:row r="29">
      <x:c r="A29" s="19" t="str">
        <x:v>SRC-ORCL-Q1FY27-EVENT</x:v>
      </x:c>
      <x:c r="B29" s="45" t="n">
        <x:v>46275</x:v>
      </x:c>
      <x:c r="C29" s="19" t="str">
        <x:v>Oracle</x:v>
      </x:c>
      <x:c r="D29" s="43" t="str">
        <x:v>Q1 FY27 earnings event</x:v>
      </x:c>
      <x:c r="E29" s="43" t="str">
        <x:v>issuer_event</x:v>
      </x:c>
      <x:c r="F29" s="43" t="str">
        <x:v>https://investor.oracle.com/events-and-presentations/event-details/2026/Q1-FY27-Earnings/default.aspx</x:v>
      </x:c>
      <x:c r="G29" s="43" t="str">
        <x:v>Oracle OCI 2026-09-11 review</x:v>
      </x:c>
      <x:c r="H29" s="43" t="str">
        <x:v>metadata_read_transcript_unavailable</x:v>
      </x:c>
      <x:c r="I29" s="43" t="str">
        <x:v>Event date and webcast link; linked player returned no readable transcript</x:v>
      </x:c>
    </x:row>
    <x:row r="30">
      <x:c r="A30" s="19" t="str">
        <x:v>SRC-CRWV-10K-FY25</x:v>
      </x:c>
      <x:c r="B30" s="45" t="n">
        <x:v>46083</x:v>
      </x:c>
      <x:c r="C30" s="19" t="str">
        <x:v>CoreWeave / SEC</x:v>
      </x:c>
      <x:c r="D30" s="43" t="str">
        <x:v>FY2025 Form 10-K</x:v>
      </x:c>
      <x:c r="E30" s="43" t="str">
        <x:v>10-K</x:v>
      </x:c>
      <x:c r="F30" s="43" t="str">
        <x:v>https://www.sec.gov/Archives/edgar/data/1769628/000176962826000104/crwv-20251231.htm</x:v>
      </x:c>
      <x:c r="G30" s="43" t="str">
        <x:v>CoreWeave 2026-09-12 review</x:v>
      </x:c>
      <x:c r="H30" s="43" t="str">
        <x:v>primary_read</x:v>
      </x:c>
      <x:c r="I30" s="43" t="str">
        <x:v>Item 1 pp.5-11; revenue pp.97-102; leases pp.111-112; debt pp.113-116</x:v>
      </x:c>
    </x:row>
    <x:row r="31">
      <x:c r="A31" s="19" t="str">
        <x:v>SRC-CRWV-10Q-Q2FY26</x:v>
      </x:c>
      <x:c r="B31" s="45" t="n">
        <x:v>46246</x:v>
      </x:c>
      <x:c r="C31" s="19" t="str">
        <x:v>CoreWeave / SEC</x:v>
      </x:c>
      <x:c r="D31" s="43" t="str">
        <x:v>Q2 2026 Form 10-Q</x:v>
      </x:c>
      <x:c r="E31" s="43" t="str">
        <x:v>10-Q</x:v>
      </x:c>
      <x:c r="F31" s="43" t="str">
        <x:v>https://www.sec.gov/Archives/edgar/data/1769628/000176962826000366/crwv-20260630.htm</x:v>
      </x:c>
      <x:c r="G31" s="43" t="str">
        <x:v>CoreWeave 2026-09-12 review</x:v>
      </x:c>
      <x:c r="H31" s="43" t="str">
        <x:v>primary_read</x:v>
      </x:c>
      <x:c r="I31" s="43" t="str">
        <x:v>Note 2 pp.14-15; Note 3 pp.15-17; Note 5 p.20; Note 9 pp.23-25; Note 10 pp.26-31; MD&amp;A pp.42-47</x:v>
      </x:c>
    </x:row>
    <x:row r="32">
      <x:c r="A32" s="19" t="str">
        <x:v>SRC-CRWV-Q1FY26-ER</x:v>
      </x:c>
      <x:c r="B32" s="45" t="n">
        <x:v>46149</x:v>
      </x:c>
      <x:c r="C32" s="19" t="str">
        <x:v>CoreWeave</x:v>
      </x:c>
      <x:c r="D32" s="43" t="str">
        <x:v>CoreWeave Reports Strong First Quarter 2026 Results</x:v>
      </x:c>
      <x:c r="E32" s="43" t="str">
        <x:v>issuer_earnings_release</x:v>
      </x:c>
      <x:c r="F32" s="43" t="str">
        <x:v>https://investors.coreweave.com/news/news-details/2026/CoreWeave-Reports-Strong-First-Quarter-2026-Results/default.aspx</x:v>
      </x:c>
      <x:c r="G32" s="43" t="str">
        <x:v>CoreWeave opening power and contracts</x:v>
      </x:c>
      <x:c r="H32" s="43" t="str">
        <x:v>primary_read</x:v>
      </x:c>
      <x:c r="I32" s="43" t="str">
        <x:v>Financial and power highlights; DDTL 4.0</x:v>
      </x:c>
    </x:row>
    <x:row r="33">
      <x:c r="A33" s="19" t="str">
        <x:v>SRC-CRWV-Q2FY26-ER</x:v>
      </x:c>
      <x:c r="B33" s="45" t="n">
        <x:v>46245</x:v>
      </x:c>
      <x:c r="C33" s="19" t="str">
        <x:v>CoreWeave</x:v>
      </x:c>
      <x:c r="D33" s="43" t="str">
        <x:v>CoreWeave Reports Strong Second Quarter 2026 Results</x:v>
      </x:c>
      <x:c r="E33" s="43" t="str">
        <x:v>issuer_earnings_release</x:v>
      </x:c>
      <x:c r="F33" s="43" t="str">
        <x:v>https://investors.coreweave.com/news/news-details/2026/CoreWeave-Reports-Strong-Second-Quarter-2026-Results/</x:v>
      </x:c>
      <x:c r="G33" s="43" t="str">
        <x:v>CoreWeave Q2 revenue power and backlog</x:v>
      </x:c>
      <x:c r="H33" s="43" t="str">
        <x:v>primary_read</x:v>
      </x:c>
      <x:c r="I33" s="43" t="str">
        <x:v>Financial highlights; backlog footnote; active and contracted power</x:v>
      </x:c>
    </x:row>
    <x:row r="34">
      <x:c r="A34" s="19" t="str">
        <x:v>SRC-CRWV-DDTL55-8K</x:v>
      </x:c>
      <x:c r="B34" s="45" t="n">
        <x:v>46244</x:v>
      </x:c>
      <x:c r="C34" s="19" t="str">
        <x:v>CoreWeave / SEC</x:v>
      </x:c>
      <x:c r="D34" s="43" t="str">
        <x:v>DDTL 5.5 Facility Form 8-K</x:v>
      </x:c>
      <x:c r="E34" s="43" t="str">
        <x:v>8-K</x:v>
      </x:c>
      <x:c r="F34" s="43" t="str">
        <x:v>https://www.sec.gov/Archives/edgar/data/1769628/000176962826000357/crwv-20260807.htm</x:v>
      </x:c>
      <x:c r="G34" s="43" t="str">
        <x:v>CoreWeave DDTL 5.5</x:v>
      </x:c>
      <x:c r="H34" s="43" t="str">
        <x:v>primary_read</x:v>
      </x:c>
      <x:c r="I34" s="43" t="str">
        <x:v>Item 1.01 amount use maturity pricing guarantees collateral and DSCR</x:v>
      </x:c>
    </x:row>
    <x:row r="35">
      <x:c r="A35" s="19" t="str">
        <x:v>SRC-CRWV-DDTL55-EX10</x:v>
      </x:c>
      <x:c r="B35" s="45" t="n">
        <x:v>46241</x:v>
      </x:c>
      <x:c r="C35" s="19" t="str">
        <x:v>CoreWeave / SEC</x:v>
      </x:c>
      <x:c r="D35" s="43" t="str">
        <x:v>DDTL 5.5 Credit Agreement</x:v>
      </x:c>
      <x:c r="E35" s="43" t="str">
        <x:v>8-K Exhibit 10.1</x:v>
      </x:c>
      <x:c r="F35" s="43" t="str">
        <x:v>https://www.sec.gov/Archives/edgar/data/1769628/000176962826000357/ex101creditagreement.htm</x:v>
      </x:c>
      <x:c r="G35" s="43" t="str">
        <x:v>CoreWeave DDTL 5.5 terms</x:v>
      </x:c>
      <x:c r="H35" s="43" t="str">
        <x:v>primary_read</x:v>
      </x:c>
      <x:c r="I35" s="43" t="str">
        <x:v>Definitions and sections 2.01 2.06 2.08-2.11</x:v>
      </x:c>
    </x:row>
    <x:row r="36">
      <x:c r="A36" s="19" t="str">
        <x:v>SRC-CRWV-DDTL55-GUARANTEE</x:v>
      </x:c>
      <x:c r="B36" s="45" t="n">
        <x:v>46241</x:v>
      </x:c>
      <x:c r="C36" s="19" t="str">
        <x:v>CoreWeave / SEC</x:v>
      </x:c>
      <x:c r="D36" s="43" t="str">
        <x:v>DDTL 5.5 Parent Guarantee and Pledge Agreement</x:v>
      </x:c>
      <x:c r="E36" s="43" t="str">
        <x:v>8-K Exhibit 10.2</x:v>
      </x:c>
      <x:c r="F36" s="43" t="str">
        <x:v>https://www.sec.gov/Archives/edgar/data/1769628/000176962826000357/ex102parentguarantee.htm</x:v>
      </x:c>
      <x:c r="G36" s="43" t="str">
        <x:v>CoreWeave DDTL 5.5 guarantee</x:v>
      </x:c>
      <x:c r="H36" s="43" t="str">
        <x:v>primary_read</x:v>
      </x:c>
      <x:c r="I36" s="43" t="str">
        <x:v>Section 2.1 unconditional and irrevocable guarantee</x:v>
      </x:c>
    </x:row>
    <x:row r="37">
      <x:c r="A37" s="19" t="str">
        <x:v>SRC-CRWV-DDTL50-20260518</x:v>
      </x:c>
      <x:c r="B37" s="45" t="n">
        <x:v>46160</x:v>
      </x:c>
      <x:c r="C37" s="19" t="str">
        <x:v>CoreWeave</x:v>
      </x:c>
      <x:c r="D37" s="43" t="str">
        <x:v>CoreWeave Closes USD3.1 Billion Loan Facility</x:v>
      </x:c>
      <x:c r="E37" s="43" t="str">
        <x:v>issuer_financing_release</x:v>
      </x:c>
      <x:c r="F37" s="43" t="str">
        <x:v>https://investors.coreweave.com/news/news-details/2026/CoreWeave-Closes-3-1-Billion-Loan-Facility-Expanding-Access-to-Public-Markets-for-GPU-Backed-Financing/</x:v>
      </x:c>
      <x:c r="G37" s="43" t="str">
        <x:v>CoreWeave DDTL 5.0</x:v>
      </x:c>
      <x:c r="H37" s="43" t="str">
        <x:v>primary_read</x:v>
      </x:c>
      <x:c r="I37" s="43" t="str">
        <x:v>Two non-investment-grade customer contracts; SOFR plus 4.50%; approximately 5.5 years</x:v>
      </x:c>
    </x:row>
    <x:row r="38">
      <x:c r="A38" s="19" t="str">
        <x:v>SRC-CRWV-META-20260409</x:v>
      </x:c>
      <x:c r="B38" s="45" t="n">
        <x:v>46121</x:v>
      </x:c>
      <x:c r="C38" s="19" t="str">
        <x:v>CoreWeave</x:v>
      </x:c>
      <x:c r="D38" s="43" t="str">
        <x:v>CoreWeave and Meta Announce USD21 Billion Expanded AI Infrastructure Agreement</x:v>
      </x:c>
      <x:c r="E38" s="43" t="str">
        <x:v>issuer_customer_agreement</x:v>
      </x:c>
      <x:c r="F38" s="43" t="str">
        <x:v>https://investors.coreweave.com/news/news-details/2026/CoreWeave-and-Meta-Announce-21-Billion-Expanded-AI-Infrastructure-Agreement/default.aspx</x:v>
      </x:c>
      <x:c r="G38" s="43" t="str">
        <x:v>CoreWeave Meta agreement</x:v>
      </x:c>
      <x:c r="H38" s="43" t="str">
        <x:v>primary_read</x:v>
      </x:c>
      <x:c r="I38" s="43" t="str">
        <x:v>Dedicated multi-location capacity through December 2032; initial Vera Rubin deployments</x:v>
      </x:c>
    </x:row>
    <x:row r="39">
      <x:c r="A39" s="19" t="str">
        <x:v>SRC-NBIS-20F-FY25</x:v>
      </x:c>
      <x:c r="B39" s="45" t="n">
        <x:v>46142</x:v>
      </x:c>
      <x:c r="C39" s="19" t="str">
        <x:v>Nebius Group N.V.</x:v>
      </x:c>
      <x:c r="D39" s="43" t="str">
        <x:v>FY2025 Form 20-F</x:v>
      </x:c>
      <x:c r="E39" s="43" t="str">
        <x:v>20-F</x:v>
      </x:c>
      <x:c r="F39" s="43" t="str">
        <x:v>https://www.sec.gov/Archives/edgar/data/1513845/000110465926052948/nbis-20251231x20f.htm</x:v>
      </x:c>
      <x:c r="G39" s="43" t="str">
        <x:v>nebius; revenue_per_mw; contract_economics</x:v>
      </x:c>
      <x:c r="H39" s="43" t="str">
        <x:v>active</x:v>
      </x:c>
      <x:c r="I39" s="43" t="str">
        <x:v>Item 4.B capacity definitions; Item 5.E off-balance-sheet arrangements; Note 2 revenue F-17–F-18; Note 11 commitments; exhibit index</x:v>
      </x:c>
    </x:row>
    <x:row r="40">
      <x:c r="A40" s="19" t="str">
        <x:v>SRC-NBIS-Q2FY26-FS</x:v>
      </x:c>
      <x:c r="B40" s="45" t="n">
        <x:v>46246</x:v>
      </x:c>
      <x:c r="C40" s="19" t="str">
        <x:v>Nebius Group N.V.</x:v>
      </x:c>
      <x:c r="D40" s="43" t="str">
        <x:v>Q2/H1 2026 financial statements</x:v>
      </x:c>
      <x:c r="E40" s="43" t="str">
        <x:v>6-K_exhibit</x:v>
      </x:c>
      <x:c r="F40" s="43" t="str">
        <x:v>https://www.sec.gov/Archives/edgar/data/1513845/000110465926094844/nbis-20260812xex99d2.htm</x:v>
      </x:c>
      <x:c r="G40" s="43" t="str">
        <x:v>nebius; revenue_per_mw; contract_economics</x:v>
      </x:c>
      <x:c r="H40" s="43" t="str">
        <x:v>active</x:v>
      </x:c>
      <x:c r="I40" s="43" t="str">
        <x:v>Cash-flow statement; Note 2 F-10; Note 4 F-19; Note 8 F-24–F-25; Note 11 F-26; Notes 14–16 F-31–F-34</x:v>
      </x:c>
    </x:row>
    <x:row r="41">
      <x:c r="A41" s="19" t="str">
        <x:v>SRC-NBIS-Q2FY26-MDNA</x:v>
      </x:c>
      <x:c r="B41" s="45" t="n">
        <x:v>46246</x:v>
      </x:c>
      <x:c r="C41" s="19" t="str">
        <x:v>Nebius Group N.V.</x:v>
      </x:c>
      <x:c r="D41" s="43" t="str">
        <x:v>Q2/H1 2026 management discussion</x:v>
      </x:c>
      <x:c r="E41" s="43" t="str">
        <x:v>6-K_exhibit</x:v>
      </x:c>
      <x:c r="F41" s="43" t="str">
        <x:v>https://www.sec.gov/Archives/edgar/data/1513845/000110465926094844/nbis-20260812xex99d1.htm</x:v>
      </x:c>
      <x:c r="G41" s="43" t="str">
        <x:v>nebius; revenue_per_mw; contract_economics</x:v>
      </x:c>
      <x:c r="H41" s="43" t="str">
        <x:v>active</x:v>
      </x:c>
      <x:c r="I41" s="43" t="str">
        <x:v>p.4 revenue table; liquidity and capital resources</x:v>
      </x:c>
    </x:row>
    <x:row r="42">
      <x:c r="A42" s="19" t="str">
        <x:v>SRC-NBIS-Q2FY26-ER</x:v>
      </x:c>
      <x:c r="B42" s="45" t="n">
        <x:v>46246</x:v>
      </x:c>
      <x:c r="C42" s="19" t="str">
        <x:v>Nebius Group N.V.</x:v>
      </x:c>
      <x:c r="D42" s="43" t="str">
        <x:v>Q2 2026 earnings release</x:v>
      </x:c>
      <x:c r="E42" s="43" t="str">
        <x:v>earnings_release</x:v>
      </x:c>
      <x:c r="F42" s="43" t="str">
        <x:v>https://assets.nebius.com/assets/72a8c258-bbb7-4df7-ab9d-8698f6cb88fc/PR.pdf</x:v>
      </x:c>
      <x:c r="G42" s="43" t="str">
        <x:v>nebius; revenue_per_mw; contract_economics</x:v>
      </x:c>
      <x:c r="H42" s="43" t="str">
        <x:v>active</x:v>
      </x:c>
      <x:c r="I42" s="43" t="str">
        <x:v>Consolidated results and cash-flow tables, 10-page release</x:v>
      </x:c>
    </x:row>
    <x:row r="43">
      <x:c r="A43" s="19" t="str">
        <x:v>SRC-NBIS-Q2FY26-LETTER</x:v>
      </x:c>
      <x:c r="B43" s="45" t="n">
        <x:v>46246</x:v>
      </x:c>
      <x:c r="C43" s="19" t="str">
        <x:v>Nebius Group N.V.</x:v>
      </x:c>
      <x:c r="D43" s="43" t="str">
        <x:v>Q2 2026 shareholder letter</x:v>
      </x:c>
      <x:c r="E43" s="43" t="str">
        <x:v>shareholder_letter</x:v>
      </x:c>
      <x:c r="F43" s="43" t="str">
        <x:v>https://assets.nebius.com/assets/a6ecfd85-a6cb-4967-8ef7-9a25bd261f9c/SHLQ226.pdf</x:v>
      </x:c>
      <x:c r="G43" s="43" t="str">
        <x:v>nebius; revenue_per_mw; contract_economics</x:v>
      </x:c>
      <x:c r="H43" s="43" t="str">
        <x:v>active</x:v>
      </x:c>
      <x:c r="I43" s="43" t="str">
        <x:v>pp.2–4 pricing and deal economics; p.5 capacity; pp.10–11 financing</x:v>
      </x:c>
    </x:row>
    <x:row r="44">
      <x:c r="A44" s="19" t="str">
        <x:v>SRC-NBIS-ESG-FY25</x:v>
      </x:c>
      <x:c r="B44" s="45" t="n">
        <x:v>46233</x:v>
      </x:c>
      <x:c r="C44" s="19" t="str">
        <x:v>Nebius Group N.V.</x:v>
      </x:c>
      <x:c r="D44" s="43" t="str">
        <x:v>2025 Sustainability Report</x:v>
      </x:c>
      <x:c r="E44" s="43" t="str">
        <x:v>sustainability_report</x:v>
      </x:c>
      <x:c r="F44" s="43" t="str">
        <x:v>https://assets.nebius.com/assets/79cf11ba-bb23-4cb8-802e-21dc155be31c/Nebius%202025%20Sustainability%20Report.pdf</x:v>
      </x:c>
      <x:c r="G44" s="43" t="str">
        <x:v>nebius; revenue_per_mw; contract_economics</x:v>
      </x:c>
      <x:c r="H44" s="43" t="str">
        <x:v>active</x:v>
      </x:c>
      <x:c r="I44" s="43" t="str">
        <x:v>p.14 PUE panel and footnotes 1–6; publication date confirmed at nebius.com/sustainability</x:v>
      </x:c>
    </x:row>
    <x:row r="45">
      <x:c r="A45" s="19" t="str">
        <x:v>SRC-NBIS-MSFT-SOW</x:v>
      </x:c>
      <x:c r="B45" s="45" t="n">
        <x:v>46142</x:v>
      </x:c>
      <x:c r="C45" s="19" t="str">
        <x:v>Nebius Group N.V.</x:v>
      </x:c>
      <x:c r="D45" s="43" t="str">
        <x:v>Microsoft SOW dated September 7 2025, Exhibit 4.4</x:v>
      </x:c>
      <x:c r="E45" s="43" t="str">
        <x:v>contract_exhibit</x:v>
      </x:c>
      <x:c r="F45" s="43" t="str">
        <x:v>https://www.sec.gov/Archives/edgar/data/1513845/000110465926052948/nbis-20251231xex4d4.htm</x:v>
      </x:c>
      <x:c r="G45" s="43" t="str">
        <x:v>nebius; revenue_per_mw; contract_economics</x:v>
      </x:c>
      <x:c r="H45" s="43" t="str">
        <x:v>active</x:v>
      </x:c>
      <x:c r="I45" s="43" t="str">
        <x:v>Sections 2 acceptance and delivery; 3.1 pricing; 3.2 payment; 3.3 termination</x:v>
      </x:c>
    </x:row>
    <x:row r="46">
      <x:c r="A46" s="19" t="str">
        <x:v>SRC-NBIS-MSFT-ADDENDUM</x:v>
      </x:c>
      <x:c r="B46" s="45" t="n">
        <x:v>46142</x:v>
      </x:c>
      <x:c r="C46" s="19" t="str">
        <x:v>Nebius Group N.V.</x:v>
      </x:c>
      <x:c r="D46" s="43" t="str">
        <x:v>Microsoft January 21 2026 addendum, Exhibit 4.5</x:v>
      </x:c>
      <x:c r="E46" s="43" t="str">
        <x:v>contract_exhibit</x:v>
      </x:c>
      <x:c r="F46" s="43" t="str">
        <x:v>https://www.sec.gov/Archives/edgar/data/1513845/000110465926052948/nbis-20251231xex4d5.htm</x:v>
      </x:c>
      <x:c r="G46" s="43" t="str">
        <x:v>nebius; revenue_per_mw; contract_economics</x:v>
      </x:c>
      <x:c r="H46" s="43" t="str">
        <x:v>active</x:v>
      </x:c>
      <x:c r="I46" s="43" t="str">
        <x:v>Section 2(d) additional tranches no upfront payment; 2(e) monthly GPU fee formula</x:v>
      </x:c>
    </x:row>
    <x:row r="47">
      <x:c r="A47" s="19" t="str">
        <x:v>SRC-NBIS-META-CONTRACT</x:v>
      </x:c>
      <x:c r="B47" s="45" t="n">
        <x:v>46142</x:v>
      </x:c>
      <x:c r="C47" s="19" t="str">
        <x:v>Nebius Group N.V.</x:v>
      </x:c>
      <x:c r="D47" s="43" t="str">
        <x:v>Meta March 13 2026 infrastructure agreement, Exhibit 4.3</x:v>
      </x:c>
      <x:c r="E47" s="43" t="str">
        <x:v>contract_exhibit</x:v>
      </x:c>
      <x:c r="F47" s="43" t="str">
        <x:v>https://www.sec.gov/Archives/edgar/data/1513845/000110465926052948/nbis-20251231xex4d3.htm</x:v>
      </x:c>
      <x:c r="G47" s="43" t="str">
        <x:v>nebius; revenue_per_mw; contract_economics</x:v>
      </x:c>
      <x:c r="H47" s="43" t="str">
        <x:v>active</x:v>
      </x:c>
      <x:c r="I47" s="43" t="str">
        <x:v>Sections 2.2 affiliate orders; 14.9 force majeure; 15 financing matters</x:v>
      </x:c>
    </x:row>
    <x:row r="48">
      <x:c r="A48" s="19" t="str">
        <x:v>SRC-NBIS-META-20260316</x:v>
      </x:c>
      <x:c r="B48" s="45" t="n">
        <x:v>46097</x:v>
      </x:c>
      <x:c r="C48" s="19" t="str">
        <x:v>Nebius Group N.V.</x:v>
      </x:c>
      <x:c r="D48" s="43" t="str">
        <x:v>New AI infrastructure agreement with Meta</x:v>
      </x:c>
      <x:c r="E48" s="43" t="str">
        <x:v>issuer_press_release</x:v>
      </x:c>
      <x:c r="F48" s="43" t="str">
        <x:v>https://www.businesswire.com/news/home/20260316469367/en/Nebius-Signs-New-AI-Infrastructure-Agreement-with-Meta</x:v>
      </x:c>
      <x:c r="G48" s="43" t="str">
        <x:v>nebius; revenue_per_mw; contract_economics</x:v>
      </x:c>
      <x:c r="H48" s="43" t="str">
        <x:v>active</x:v>
      </x:c>
      <x:c r="I48" s="43" t="str">
        <x:v>Opening three substantive paragraphs</x:v>
      </x:c>
    </x:row>
    <x:row r="49">
      <x:c r="A49" s="19" t="str">
        <x:v>SRC-NBIS-BLOOM-CONTRACT</x:v>
      </x:c>
      <x:c r="B49" s="45" t="n">
        <x:v>46162</x:v>
      </x:c>
      <x:c r="C49" s="19" t="str">
        <x:v>Nebius Group N.V.</x:v>
      </x:c>
      <x:c r="D49" s="43" t="str">
        <x:v>Q1 financials subsequent event: Bloom fuel-cell capacity agreement</x:v>
      </x:c>
      <x:c r="E49" s="43" t="str">
        <x:v>6-K_exhibit</x:v>
      </x:c>
      <x:c r="F49" s="43" t="str">
        <x:v>https://www.sec.gov/Archives/edgar/data/1513845/000110465926064092/nbis-20260331xex99d2.htm</x:v>
      </x:c>
      <x:c r="G49" s="43" t="str">
        <x:v>nebius; revenue_per_mw; contract_economics</x:v>
      </x:c>
      <x:c r="H49" s="43" t="str">
        <x:v>active</x:v>
      </x:c>
      <x:c r="I49" s="43" t="str">
        <x:v>Note 16 Subsequent Events, F-30, Fuel Cell Capacity Agreement</x:v>
      </x:c>
    </x:row>
    <x:row r="50">
      <x:c r="A50" s="19" t="str">
        <x:v>SRC-NBIS-ABS-20260717</x:v>
      </x:c>
      <x:c r="B50" s="45" t="n">
        <x:v>46220</x:v>
      </x:c>
      <x:c r="C50" s="19" t="str">
        <x:v>Nebius Group N.V.</x:v>
      </x:c>
      <x:c r="D50" s="43" t="str">
        <x:v>Asset-backed facility signed July 10</x:v>
      </x:c>
      <x:c r="E50" s="43" t="str">
        <x:v>6-K</x:v>
      </x:c>
      <x:c r="F50" s="43" t="str">
        <x:v>https://www.sec.gov/Archives/edgar/data/1513845/000110465926084452/tm2620683d1_6k.htm</x:v>
      </x:c>
      <x:c r="G50" s="43" t="str">
        <x:v>nebius; revenue_per_mw; contract_economics</x:v>
      </x:c>
      <x:c r="H50" s="43" t="str">
        <x:v>active</x:v>
      </x:c>
      <x:c r="I50" s="43" t="str">
        <x:v>ASSET-BACKED FACILITY terms, security, covenants and guarantee paragraphs</x:v>
      </x:c>
    </x:row>
    <x:row r="51">
      <x:c r="A51" s="19" t="str">
        <x:v>SRC-NBIS-CONVERT-20260824</x:v>
      </x:c>
      <x:c r="B51" s="45" t="n">
        <x:v>46258</x:v>
      </x:c>
      <x:c r="C51" s="19" t="str">
        <x:v>Nebius Group N.V.</x:v>
      </x:c>
      <x:c r="D51" s="43" t="str">
        <x:v>Closing of $5.75B convertible senior notes</x:v>
      </x:c>
      <x:c r="E51" s="43" t="str">
        <x:v>6-K_exhibit</x:v>
      </x:c>
      <x:c r="F51" s="43" t="str">
        <x:v>https://www.sec.gov/Archives/edgar/data/1513845/000110465926100347/tm2623863d1_ex99-1.htm</x:v>
      </x:c>
      <x:c r="G51" s="43" t="str">
        <x:v>nebius; revenue_per_mw; contract_economics</x:v>
      </x:c>
      <x:c r="H51" s="43" t="str">
        <x:v>active</x:v>
      </x:c>
      <x:c r="I51" s="43" t="str">
        <x:v>Proceeds, accretion and exchange transaction paragraphs</x:v>
      </x:c>
    </x:row>
    <x:row r="52">
      <x:c r="A52" s="19" t="str">
        <x:v>SRC-NBIS-INDENTURE-2030</x:v>
      </x:c>
      <x:c r="B52" s="45" t="n">
        <x:v>46258</x:v>
      </x:c>
      <x:c r="C52" s="19" t="str">
        <x:v>Nebius Group N.V.</x:v>
      </x:c>
      <x:c r="D52" s="43" t="str">
        <x:v>0.500% notes due 2030 indenture</x:v>
      </x:c>
      <x:c r="E52" s="43" t="str">
        <x:v>indenture</x:v>
      </x:c>
      <x:c r="F52" s="43" t="str">
        <x:v>https://www.sec.gov/Archives/edgar/data/1513845/000110465926100347/tm2623863d1_ex4-1.htm</x:v>
      </x:c>
      <x:c r="G52" s="43" t="str">
        <x:v>nebius; revenue_per_mw; contract_economics</x:v>
      </x:c>
      <x:c r="H52" s="43" t="str">
        <x:v>active</x:v>
      </x:c>
      <x:c r="I52" s="43" t="str">
        <x:v>Section 2.21 and Exhibit C C-1 accreted principal schedule</x:v>
      </x:c>
    </x:row>
    <x:row r="53">
      <x:c r="A53" s="19" t="str">
        <x:v>SRC-NBIS-INDENTURE-2034</x:v>
      </x:c>
      <x:c r="B53" s="45" t="n">
        <x:v>46258</x:v>
      </x:c>
      <x:c r="C53" s="19" t="str">
        <x:v>Nebius Group N.V.</x:v>
      </x:c>
      <x:c r="D53" s="43" t="str">
        <x:v>4.500% notes due 2034 indenture</x:v>
      </x:c>
      <x:c r="E53" s="43" t="str">
        <x:v>indenture</x:v>
      </x:c>
      <x:c r="F53" s="43" t="str">
        <x:v>https://www.sec.gov/Archives/edgar/data/1513845/000110465926100347/tm2623863d1_ex4-3.htm</x:v>
      </x:c>
      <x:c r="G53" s="43" t="str">
        <x:v>nebius; revenue_per_mw; contract_economics</x:v>
      </x:c>
      <x:c r="H53" s="43" t="str">
        <x:v>active</x:v>
      </x:c>
      <x:c r="I53" s="43" t="str">
        <x:v>Sections 1.02(L), 2.21 and Exhibit C C-1</x:v>
      </x:c>
    </x:row>
    <x:row r="54">
      <x:c r="A54" s="19" t="str">
        <x:v>SRC-NBIS-PALANTIR-20260908</x:v>
      </x:c>
      <x:c r="B54" s="45" t="n">
        <x:v>46273</x:v>
      </x:c>
      <x:c r="C54" s="19" t="str">
        <x:v>Nebius Group N.V.</x:v>
      </x:c>
      <x:c r="D54" s="43" t="str">
        <x:v>Palantir/Nebius sovereign AI partnership</x:v>
      </x:c>
      <x:c r="E54" s="43" t="str">
        <x:v>6-K_exhibit</x:v>
      </x:c>
      <x:c r="F54" s="43" t="str">
        <x:v>https://www.sec.gov/Archives/edgar/data/1513845/000110465926105749/tm2624958d1_ex99-1.htm</x:v>
      </x:c>
      <x:c r="G54" s="43" t="str">
        <x:v>nebius; revenue_per_mw; contract_economics</x:v>
      </x:c>
      <x:c r="H54" s="43" t="str">
        <x:v>active</x:v>
      </x:c>
      <x:c r="I54" s="43" t="str">
        <x:v>Opening partnership and integration description</x:v>
      </x:c>
    </x:row>
    <x:row r="55">
      <x:c r="A55" s="19" t="str">
        <x:v>SRC-NBIS-NEWSROOM-20260915</x:v>
      </x:c>
      <x:c r="B55" s="45" t="n">
        <x:v>46280</x:v>
      </x:c>
      <x:c r="C55" s="19" t="str">
        <x:v>Nebius Group N.V.</x:v>
      </x:c>
      <x:c r="D55" s="43" t="str">
        <x:v>Issuer news index checked September 15</x:v>
      </x:c>
      <x:c r="E55" s="43" t="str">
        <x:v>issuer_index</x:v>
      </x:c>
      <x:c r="F55" s="43" t="str">
        <x:v>https://nebius.com/newsroom</x:v>
      </x:c>
      <x:c r="G55" s="43" t="str">
        <x:v>nebius; revenue_per_mw; contract_economics</x:v>
      </x:c>
      <x:c r="H55" s="43" t="str">
        <x:v>active</x:v>
      </x:c>
      <x:c r="I55" s="43" t="str">
        <x:v>Latest press releases; latest economic news September 8</x:v>
      </x:c>
    </x:row>
    <x:row r="56">
      <x:c r="A56" s="19" t="str">
        <x:v>SRC-IREN-10K-FY26</x:v>
      </x:c>
      <x:c r="B56" s="45" t="n">
        <x:v>46261</x:v>
      </x:c>
      <x:c r="C56" s="19" t="str">
        <x:v>IREN Limited / SEC</x:v>
      </x:c>
      <x:c r="D56" s="43" t="str">
        <x:v>FY2026 Form 10-K</x:v>
      </x:c>
      <x:c r="E56" s="43" t="str">
        <x:v>10-K</x:v>
      </x:c>
      <x:c r="F56" s="43" t="str">
        <x:v>https://www.sec.gov/Archives/edgar/data/1878848/000187884826000052/iren-20260630.htm</x:v>
      </x:c>
      <x:c r="G56" s="43" t="str">
        <x:v>iren; revenue_per_mw; contract_economics; capex</x:v>
      </x:c>
      <x:c r="H56" s="43" t="str">
        <x:v>active</x:v>
      </x:c>
      <x:c r="I56" s="43" t="str">
        <x:v>Item 1 pp.12-15; Item 7 pp.115-124; Notes 4 20 23 and 26</x:v>
      </x:c>
    </x:row>
    <x:row r="57">
      <x:c r="A57" s="19" t="str">
        <x:v>SRC-IREN-10Q-Q3FY26</x:v>
      </x:c>
      <x:c r="B57" s="45" t="n">
        <x:v>46150</x:v>
      </x:c>
      <x:c r="C57" s="19" t="str">
        <x:v>IREN Limited / SEC</x:v>
      </x:c>
      <x:c r="D57" s="43" t="str">
        <x:v>Q3 FY2026 Form 10-Q</x:v>
      </x:c>
      <x:c r="E57" s="43" t="str">
        <x:v>10-Q</x:v>
      </x:c>
      <x:c r="F57" s="43" t="str">
        <x:v>https://www.sec.gov/Archives/edgar/data/1878848/000187884826000026/iren-20260331.htm</x:v>
      </x:c>
      <x:c r="G57" s="43" t="str">
        <x:v>iren; revenue_per_mw; contract_economics</x:v>
      </x:c>
      <x:c r="H57" s="43" t="str">
        <x:v>active</x:v>
      </x:c>
      <x:c r="I57" s="43" t="str">
        <x:v>Note 2 segment policy; Note 4 revenue; Microsoft agreement; MD&amp;A</x:v>
      </x:c>
    </x:row>
    <x:row r="58">
      <x:c r="A58" s="19" t="str">
        <x:v>SRC-IREN-Q3FY26-ER</x:v>
      </x:c>
      <x:c r="B58" s="45" t="n">
        <x:v>46150</x:v>
      </x:c>
      <x:c r="C58" s="19" t="str">
        <x:v>IREN Limited / SEC</x:v>
      </x:c>
      <x:c r="D58" s="43" t="str">
        <x:v>Q3 FY2026 results</x:v>
      </x:c>
      <x:c r="E58" s="43" t="str">
        <x:v>earnings_release</x:v>
      </x:c>
      <x:c r="F58" s="43" t="str">
        <x:v>https://www.sec.gov/Archives/edgar/data/1878848/000187884826000025/irenreportsq3fy26results.htm</x:v>
      </x:c>
      <x:c r="G58" s="43" t="str">
        <x:v>iren; revenue_per_mw; contract_economics</x:v>
      </x:c>
      <x:c r="H58" s="43" t="str">
        <x:v>active</x:v>
      </x:c>
      <x:c r="I58" s="43" t="str">
        <x:v>pp.1-4 operating and contract update; p.9 revenue table</x:v>
      </x:c>
    </x:row>
    <x:row r="59">
      <x:c r="A59" s="19" t="str">
        <x:v>SRC-IREN-FY26-ER</x:v>
      </x:c>
      <x:c r="B59" s="45" t="n">
        <x:v>46261</x:v>
      </x:c>
      <x:c r="C59" s="19" t="str">
        <x:v>IREN Limited / SEC</x:v>
      </x:c>
      <x:c r="D59" s="43" t="str">
        <x:v>FY2026 results</x:v>
      </x:c>
      <x:c r="E59" s="43" t="str">
        <x:v>earnings_release</x:v>
      </x:c>
      <x:c r="F59" s="43" t="str">
        <x:v>https://www.sec.gov/Archives/edgar/data/1878848/000187884826000051/irenreportsfy26results.htm</x:v>
      </x:c>
      <x:c r="G59" s="43" t="str">
        <x:v>iren; revenue_per_mw; contract_economics; capex</x:v>
      </x:c>
      <x:c r="H59" s="43" t="str">
        <x:v>active</x:v>
      </x:c>
      <x:c r="I59" s="43" t="str">
        <x:v>pp.1-3 pricing delivery and financing; pp.9-13 financial tables</x:v>
      </x:c>
    </x:row>
    <x:row r="60">
      <x:c r="A60" s="19" t="str">
        <x:v>SRC-IREN-FY26-PRESENTATION</x:v>
      </x:c>
      <x:c r="B60" s="45" t="n">
        <x:v>46261</x:v>
      </x:c>
      <x:c r="C60" s="19" t="str">
        <x:v>IREN Limited</x:v>
      </x:c>
      <x:c r="D60" s="43" t="str">
        <x:v>FY2026 results presentation</x:v>
      </x:c>
      <x:c r="E60" s="43" t="str">
        <x:v>earnings_presentation</x:v>
      </x:c>
      <x:c r="F60" s="43" t="str">
        <x:v>https://iren.gcs-web.com/static-files/1ca5b6f0-4b4d-4710-a7e2-69435e112b60</x:v>
      </x:c>
      <x:c r="G60" s="43" t="str">
        <x:v>iren; revenue_per_mw; contract_economics; capex</x:v>
      </x:c>
      <x:c r="H60" s="43" t="str">
        <x:v>active</x:v>
      </x:c>
      <x:c r="I60" s="43" t="str">
        <x:v>pp.5 9 11-15 20 22-24 and 26</x:v>
      </x:c>
    </x:row>
    <x:row r="61">
      <x:c r="A61" s="19" t="str">
        <x:v>SRC-IREN-MSFT-8K-20251103</x:v>
      </x:c>
      <x:c r="B61" s="45" t="n">
        <x:v>45964</x:v>
      </x:c>
      <x:c r="C61" s="19" t="str">
        <x:v>IREN Limited / SEC</x:v>
      </x:c>
      <x:c r="D61" s="43" t="str">
        <x:v>Microsoft and Dell agreements</x:v>
      </x:c>
      <x:c r="E61" s="43" t="str">
        <x:v>8-K</x:v>
      </x:c>
      <x:c r="F61" s="43" t="str">
        <x:v>https://www.sec.gov/Archives/edgar/data/1878848/000114036125040072/ef20058139_8k.htm</x:v>
      </x:c>
      <x:c r="G61" s="43" t="str">
        <x:v>iren; revenue_per_mw; contract_economics; capex</x:v>
      </x:c>
      <x:c r="H61" s="43" t="str">
        <x:v>active</x:v>
      </x:c>
      <x:c r="I61" s="43" t="str">
        <x:v>Items 1.01 and 7.01</x:v>
      </x:c>
    </x:row>
    <x:row r="62">
      <x:c r="A62" s="19" t="str">
        <x:v>SRC-IREN-MSFT-CONTRACT</x:v>
      </x:c>
      <x:c r="B62" s="45" t="n">
        <x:v>46058</x:v>
      </x:c>
      <x:c r="C62" s="19" t="str">
        <x:v>IREN Limited / SEC</x:v>
      </x:c>
      <x:c r="D62" s="43" t="str">
        <x:v>Microsoft partner statement of work</x:v>
      </x:c>
      <x:c r="E62" s="43" t="str">
        <x:v>contract_exhibit</x:v>
      </x:c>
      <x:c r="F62" s="43" t="str">
        <x:v>https://www.sec.gov/Archives/edgar/data/1878848/000187884826000015/exhibit103-partnerstatem.htm</x:v>
      </x:c>
      <x:c r="G62" s="43" t="str">
        <x:v>iren; revenue_per_mw; contract_economics</x:v>
      </x:c>
      <x:c r="H62" s="43" t="str">
        <x:v>active</x:v>
      </x:c>
      <x:c r="I62" s="43" t="str">
        <x:v>pp.3-5 acceptance; pp.6-8 fees tranches and prepayment; pp.9-13 delay and termination</x:v>
      </x:c>
    </x:row>
    <x:row r="63">
      <x:c r="A63" s="19" t="str">
        <x:v>SRC-IREN-GPUFIN-8K-20260529</x:v>
      </x:c>
      <x:c r="B63" s="45" t="n">
        <x:v>46171</x:v>
      </x:c>
      <x:c r="C63" s="19" t="str">
        <x:v>IREN Limited / SEC</x:v>
      </x:c>
      <x:c r="D63" s="43" t="str">
        <x:v>Microsoft GPU financing</x:v>
      </x:c>
      <x:c r="E63" s="43" t="str">
        <x:v>8-K</x:v>
      </x:c>
      <x:c r="F63" s="43" t="str">
        <x:v>https://www.sec.gov/Archives/edgar/data/1878848/000114036126023427/ef20075181_8k.htm</x:v>
      </x:c>
      <x:c r="G63" s="43" t="str">
        <x:v>iren; contract_economics; capex</x:v>
      </x:c>
      <x:c r="H63" s="43" t="str">
        <x:v>active</x:v>
      </x:c>
      <x:c r="I63" s="43" t="str">
        <x:v>Item 1.01 financing collateral covenants 1.05x ongoing DSCR and guarantees</x:v>
      </x:c>
    </x:row>
    <x:row r="64">
      <x:c r="A64" s="19" t="str">
        <x:v>SRC-IREN-GPUFIN-NPA</x:v>
      </x:c>
      <x:c r="B64" s="45" t="n">
        <x:v>46261</x:v>
      </x:c>
      <x:c r="C64" s="19" t="str">
        <x:v>IREN Limited / SEC</x:v>
      </x:c>
      <x:c r="D64" s="43" t="str">
        <x:v>5.96% note purchase agreement</x:v>
      </x:c>
      <x:c r="E64" s="43" t="str">
        <x:v>financing_exhibit</x:v>
      </x:c>
      <x:c r="F64" s="43" t="str">
        <x:v>https://www.sec.gov/Archives/edgar/data/1878848/000187884826000052/a1036notepurchaseagreeme.htm</x:v>
      </x:c>
      <x:c r="G64" s="43" t="str">
        <x:v>iren; contract_economics; capex</x:v>
      </x:c>
      <x:c r="H64" s="43" t="str">
        <x:v>active</x:v>
      </x:c>
      <x:c r="I64" s="43" t="str">
        <x:v>Sections 1 3 8-9 and Schedule B</x:v>
      </x:c>
    </x:row>
    <x:row r="65">
      <x:c r="A65" s="19" t="str">
        <x:v>SRC-IREN-GPUFIN-CTA</x:v>
      </x:c>
      <x:c r="B65" s="45" t="n">
        <x:v>46261</x:v>
      </x:c>
      <x:c r="C65" s="19" t="str">
        <x:v>IREN Limited / SEC</x:v>
      </x:c>
      <x:c r="D65" s="43" t="str">
        <x:v>GPU financing common terms agreement</x:v>
      </x:c>
      <x:c r="E65" s="43" t="str">
        <x:v>financing_exhibit</x:v>
      </x:c>
      <x:c r="F65" s="43" t="str">
        <x:v>https://www.sec.gov/Archives/edgar/data/1878848/000187884826000052/a1037commontermsagreemen.htm</x:v>
      </x:c>
      <x:c r="G65" s="43" t="str">
        <x:v>iren; contract_economics; capex</x:v>
      </x:c>
      <x:c r="H65" s="43" t="str">
        <x:v>active</x:v>
      </x:c>
      <x:c r="I65" s="43" t="str">
        <x:v>Sections 3 5 and 6; Schedule 1.1(a)</x:v>
      </x:c>
    </x:row>
    <x:row r="66">
      <x:c r="A66" s="19" t="str">
        <x:v>SRC-IREN-GPUFIN-REMARKETING-GUARANTEE</x:v>
      </x:c>
      <x:c r="B66" s="45" t="n">
        <x:v>46261</x:v>
      </x:c>
      <x:c r="C66" s="19" t="str">
        <x:v>IREN Limited / SEC</x:v>
      </x:c>
      <x:c r="D66" s="43" t="str">
        <x:v>IREN parent remarketing guarantee</x:v>
      </x:c>
      <x:c r="E66" s="43" t="str">
        <x:v>guarantee_exhibit</x:v>
      </x:c>
      <x:c r="F66" s="43" t="str">
        <x:v>https://www.sec.gov/Archives/edgar/data/1878848/000187884826000052/a1038irenlimitedparentguar.htm</x:v>
      </x:c>
      <x:c r="G66" s="43" t="str">
        <x:v>iren; contract_economics; capex</x:v>
      </x:c>
      <x:c r="H66" s="43" t="str">
        <x:v>active</x:v>
      </x:c>
      <x:c r="I66" s="43" t="str">
        <x:v>Article II guaranteed obligations; release and termination provisions</x:v>
      </x:c>
    </x:row>
    <x:row r="67">
      <x:c r="A67" s="19" t="str">
        <x:v>SRC-IREN-GPUFIN-PERFORMANCE-GUARANTEE</x:v>
      </x:c>
      <x:c r="B67" s="45" t="n">
        <x:v>46261</x:v>
      </x:c>
      <x:c r="C67" s="19" t="str">
        <x:v>IREN Limited / SEC</x:v>
      </x:c>
      <x:c r="D67" s="43" t="str">
        <x:v>IREN managed-services performance guarantee</x:v>
      </x:c>
      <x:c r="E67" s="43" t="str">
        <x:v>guarantee_exhibit</x:v>
      </x:c>
      <x:c r="F67" s="43" t="str">
        <x:v>https://www.sec.gov/Archives/edgar/data/1878848/000187884826000052/a1054irenlimitedparentguar.htm</x:v>
      </x:c>
      <x:c r="G67" s="43" t="str">
        <x:v>iren; contract_economics; capex</x:v>
      </x:c>
      <x:c r="H67" s="43" t="str">
        <x:v>active</x:v>
      </x:c>
      <x:c r="I67" s="43" t="str">
        <x:v>Sections 1.1 2.1-2.3 and 5.10</x:v>
      </x:c>
    </x:row>
    <x:row r="68">
      <x:c r="A68" s="19" t="str">
        <x:v>SRC-IREN-HORIZON1-20260813</x:v>
      </x:c>
      <x:c r="B68" s="45" t="n">
        <x:v>46247</x:v>
      </x:c>
      <x:c r="C68" s="19" t="str">
        <x:v>IREN Limited / SEC</x:v>
      </x:c>
      <x:c r="D68" s="43" t="str">
        <x:v>First Horizon 1 Microsoft tranche accepted</x:v>
      </x:c>
      <x:c r="E68" s="43" t="str">
        <x:v>8-K_exhibit</x:v>
      </x:c>
      <x:c r="F68" s="43" t="str">
        <x:v>https://www.sec.gov/Archives/edgar/data/1878848/000114036126032638/ef20080141_8k.htm</x:v>
      </x:c>
      <x:c r="G68" s="43" t="str">
        <x:v>iren; revenue_per_mw; contract_economics</x:v>
      </x:c>
      <x:c r="H68" s="43" t="str">
        <x:v>active</x:v>
      </x:c>
      <x:c r="I68" s="43" t="str">
        <x:v>Opening three paragraphs; 50 IT MW is subsequent to Q4 FY2026</x:v>
      </x:c>
    </x:row>
    <x:row r="69">
      <x:c r="A69" s="19" t="str">
        <x:v>SRC-IREN-NVIDIA-DELL-20260526</x:v>
      </x:c>
      <x:c r="B69" s="45" t="n">
        <x:v>46168</x:v>
      </x:c>
      <x:c r="C69" s="19" t="str">
        <x:v>IREN Limited / SEC</x:v>
      </x:c>
      <x:c r="D69" s="43" t="str">
        <x:v>NVIDIA managed services and Dell purchase agreements</x:v>
      </x:c>
      <x:c r="E69" s="43" t="str">
        <x:v>8-K_and_exhibit</x:v>
      </x:c>
      <x:c r="F69" s="43" t="str">
        <x:v>https://www.sec.gov/Archives/edgar/data/1878848/000187884826000030/0001878848-26-000030.txt</x:v>
      </x:c>
      <x:c r="G69" s="43" t="str">
        <x:v>iren; revenue_per_mw; contract_economics; capex</x:v>
      </x:c>
      <x:c r="H69" s="43" t="str">
        <x:v>active</x:v>
      </x:c>
      <x:c r="I69" s="43" t="str">
        <x:v>Item 1.01 Dell order and guarantee; Exhibit 99.1 NVIDIA contract</x:v>
      </x:c>
    </x:row>
    <x:row r="70">
      <x:c r="A70" s="19" t="str">
        <x:v>SRC-IREN-PRINCE-GEORGE-SITE-20260916</x:v>
      </x:c>
      <x:c r="B70" s="45" t="n">
        <x:v>46281</x:v>
      </x:c>
      <x:c r="C70" s="19" t="str">
        <x:v>IREN Limited</x:v>
      </x:c>
      <x:c r="D70" s="43" t="str">
        <x:v>Prince George data center specifications</x:v>
      </x:c>
      <x:c r="E70" s="43" t="str">
        <x:v>issuer_site_page</x:v>
      </x:c>
      <x:c r="F70" s="43" t="str">
        <x:v>https://iren.com/data-centers/prince-george</x:v>
      </x:c>
      <x:c r="G70" s="43" t="str">
        <x:v>iren; effective_mw</x:v>
      </x:c>
      <x:c r="H70" s="43" t="str">
        <x:v>active</x:v>
      </x:c>
      <x:c r="I70" s="43" t="str">
        <x:v>50 MW power capacity; average PUE 1.1; no measurement period or energy totals</x:v>
      </x:c>
    </x:row>
    <x:row r="71">
      <x:c r="A71" s="19" t="str">
        <x:v>SRC-IREN-MACKENZIE-SITE-20260916</x:v>
      </x:c>
      <x:c r="B71" s="45" t="n">
        <x:v>46281</x:v>
      </x:c>
      <x:c r="C71" s="19" t="str">
        <x:v>IREN Limited</x:v>
      </x:c>
      <x:c r="D71" s="43" t="str">
        <x:v>Mackenzie data center specifications</x:v>
      </x:c>
      <x:c r="E71" s="43" t="str">
        <x:v>issuer_site_page</x:v>
      </x:c>
      <x:c r="F71" s="43" t="str">
        <x:v>https://iren.com/data-centers/mackenzie</x:v>
      </x:c>
      <x:c r="G71" s="43" t="str">
        <x:v>iren; effective_mw</x:v>
      </x:c>
      <x:c r="H71" s="43" t="str">
        <x:v>active</x:v>
      </x:c>
      <x:c r="I71" s="43" t="str">
        <x:v>80 MW power capacity; average PUE 1.1; no measurement period or energy totals</x:v>
      </x:c>
    </x:row>
    <x:row r="72">
      <x:c r="A72" s="19" t="str">
        <x:v>SRC-IREN-SWEETWATER-20260908</x:v>
      </x:c>
      <x:c r="B72" s="45" t="n">
        <x:v>46273</x:v>
      </x:c>
      <x:c r="C72" s="19" t="str">
        <x:v>IREN Limited</x:v>
      </x:c>
      <x:c r="D72" s="43" t="str">
        <x:v>Sweetwater conditional ERCOT Batch Zero inclusion</x:v>
      </x:c>
      <x:c r="E72" s="43" t="str">
        <x:v>issuer_press_release</x:v>
      </x:c>
      <x:c r="F72" s="43" t="str">
        <x:v>https://iren.gcs-web.com/static-files/32760df9-d8fc-4118-90b3-6c9d3bb815a7</x:v>
      </x:c>
      <x:c r="G72" s="43" t="str">
        <x:v>iren; contract_economics; capex</x:v>
      </x:c>
      <x:c r="H72" s="43" t="str">
        <x:v>active</x:v>
      </x:c>
      <x:c r="I72" s="43" t="str">
        <x:v>p.1 conditional grid inclusion and 300 MW gross construction target</x:v>
      </x:c>
    </x:row>
    <x:row r="73">
      <x:c r="A73" s="19" t="str">
        <x:v>SRC-MSFT-10K-FY26</x:v>
      </x:c>
      <x:c r="B73" s="45" t="n">
        <x:v>46232</x:v>
      </x:c>
      <x:c r="C73" s="19" t="str">
        <x:v>Microsoft Corporation / SEC</x:v>
      </x:c>
      <x:c r="D73" s="43" t="str">
        <x:v>FY2026 Form 10-K</x:v>
      </x:c>
      <x:c r="E73" s="43" t="str">
        <x:v>10-K</x:v>
      </x:c>
      <x:c r="F73" s="43" t="str">
        <x:v>https://www.sec.gov/Archives/edgar/data/789019/000119312526323660/msft-20260630.htm</x:v>
      </x:c>
      <x:c r="G73" s="43" t="str">
        <x:v>microsoft_azure; revenue_per_mw; contract_economics; capex</x:v>
      </x:c>
      <x:c r="H73" s="43" t="str">
        <x:v>active</x:v>
      </x:c>
      <x:c r="I73" s="43" t="str">
        <x:v>Item 7 pp.33-45; Item 8 pp.52, 68-69, 76-79; obligations p.43; Notes 6, 12 and 13</x:v>
      </x:c>
    </x:row>
    <x:row r="74">
      <x:c r="A74" s="19" t="str">
        <x:v>SRC-MSFT-10Q-Q3FY26</x:v>
      </x:c>
      <x:c r="B74" s="45" t="n">
        <x:v>46141</x:v>
      </x:c>
      <x:c r="C74" s="19" t="str">
        <x:v>Microsoft Corporation / SEC</x:v>
      </x:c>
      <x:c r="D74" s="43" t="str">
        <x:v>Q3 FY2026 Form 10-Q</x:v>
      </x:c>
      <x:c r="E74" s="43" t="str">
        <x:v>10-Q</x:v>
      </x:c>
      <x:c r="F74" s="43" t="str">
        <x:v>https://www.sec.gov/Archives/edgar/data/789019/000119312526191507/msft-20260331.htm</x:v>
      </x:c>
      <x:c r="G74" s="43" t="str">
        <x:v>microsoft_azure; revenue_per_mw; contract_economics; capex</x:v>
      </x:c>
      <x:c r="H74" s="43" t="str">
        <x:v>active</x:v>
      </x:c>
      <x:c r="I74" s="43" t="str">
        <x:v>Notes 11-12 pp.20-24; Item 2 pp.31-47; uncommenced leases p.23</x:v>
      </x:c>
    </x:row>
    <x:row r="75">
      <x:c r="A75" s="19" t="str">
        <x:v>SRC-MSFT-FY26-ER</x:v>
      </x:c>
      <x:c r="B75" s="45" t="n">
        <x:v>46232</x:v>
      </x:c>
      <x:c r="C75" s="19" t="str">
        <x:v>Microsoft Corporation / SEC</x:v>
      </x:c>
      <x:c r="D75" s="43" t="str">
        <x:v>Q4 and FY2026 results</x:v>
      </x:c>
      <x:c r="E75" s="43" t="str">
        <x:v>earnings_release</x:v>
      </x:c>
      <x:c r="F75" s="43" t="str">
        <x:v>https://www.sec.gov/Archives/edgar/data/789019/000119312526323632/msft-ex99_1.htm</x:v>
      </x:c>
      <x:c r="G75" s="43" t="str">
        <x:v>microsoft_azure; revenue_per_mw; capex</x:v>
      </x:c>
      <x:c r="H75" s="43" t="str">
        <x:v>active</x:v>
      </x:c>
      <x:c r="I75" s="43" t="str">
        <x:v>Business Highlights and financial tables</x:v>
      </x:c>
    </x:row>
    <x:row r="76">
      <x:c r="A76" s="19" t="str">
        <x:v>SRC-MSFT-FY26-CALL</x:v>
      </x:c>
      <x:c r="B76" s="45" t="n">
        <x:v>46232</x:v>
      </x:c>
      <x:c r="C76" s="19" t="str">
        <x:v>Microsoft Corporation</x:v>
      </x:c>
      <x:c r="D76" s="43" t="str">
        <x:v>Q4 FY2026 earnings call transcript</x:v>
      </x:c>
      <x:c r="E76" s="43" t="str">
        <x:v>earnings_call_transcript</x:v>
      </x:c>
      <x:c r="F76" s="43" t="str">
        <x:v>https://www.microsoft.com/en-us/Investor/events/FY-2026/earnings-fy-2026-q4</x:v>
      </x:c>
      <x:c r="G76" s="43" t="str">
        <x:v>microsoft_azure; revenue_per_mw; token_economics; jevons; capex</x:v>
      </x:c>
      <x:c r="H76" s="43" t="str">
        <x:v>active</x:v>
      </x:c>
      <x:c r="I76" s="43" t="str">
        <x:v>Capacity, efficiency, capex, leases and outlook</x:v>
      </x:c>
    </x:row>
    <x:row r="77">
      <x:c r="A77" s="19" t="str">
        <x:v>SRC-MSFT-SEGMENT-8K-20260902</x:v>
      </x:c>
      <x:c r="B77" s="45" t="n">
        <x:v>46267</x:v>
      </x:c>
      <x:c r="C77" s="19" t="str">
        <x:v>Microsoft Corporation / SEC</x:v>
      </x:c>
      <x:c r="D77" s="43" t="str">
        <x:v>FY2027 segment reporting change Form 8-K</x:v>
      </x:c>
      <x:c r="E77" s="43" t="str">
        <x:v>8-K</x:v>
      </x:c>
      <x:c r="F77" s="43" t="str">
        <x:v>https://www.sec.gov/Archives/edgar/data/789019/000119312526380280/d291965d8k.htm</x:v>
      </x:c>
      <x:c r="G77" s="43" t="str">
        <x:v>microsoft_azure; revenue_per_mw</x:v>
      </x:c>
      <x:c r="H77" s="43" t="str">
        <x:v>active</x:v>
      </x:c>
      <x:c r="I77" s="43" t="str">
        <x:v>Item 7.01 and Exhibit 99.1</x:v>
      </x:c>
    </x:row>
    <x:row r="78">
      <x:c r="A78" s="19" t="str">
        <x:v>SRC-MSFT-SEGMENT-EX99-20260902</x:v>
      </x:c>
      <x:c r="B78" s="45" t="n">
        <x:v>46267</x:v>
      </x:c>
      <x:c r="C78" s="19" t="str">
        <x:v>Microsoft Corporation / SEC</x:v>
      </x:c>
      <x:c r="D78" s="43" t="str">
        <x:v>FY2027 segments and investor metrics</x:v>
      </x:c>
      <x:c r="E78" s="43" t="str">
        <x:v>8-K_exhibit</x:v>
      </x:c>
      <x:c r="F78" s="43" t="str">
        <x:v>https://www.sec.gov/Archives/edgar/data/789019/000119312526380280/d291965dex991.htm</x:v>
      </x:c>
      <x:c r="G78" s="43" t="str">
        <x:v>microsoft_azure; revenue_per_mw</x:v>
      </x:c>
      <x:c r="H78" s="43" t="str">
        <x:v>active</x:v>
      </x:c>
      <x:c r="I78" s="43" t="str">
        <x:v>Slides 4-7, 11-13 and 17-18; exact restated Azure revenue and changed perimeter</x:v>
      </x:c>
    </x:row>
    <x:row r="79">
      <x:c r="A79" s="19" t="str">
        <x:v>SRC-MSFT-PUE-FY25</x:v>
      </x:c>
      <x:c r="B79" s="45" t="n">
        <x:v>46282</x:v>
      </x:c>
      <x:c r="C79" s="19" t="str">
        <x:v>Microsoft Corporation</x:v>
      </x:c>
      <x:c r="D79" s="43" t="str">
        <x:v>Datacenter energy and water efficiency metrics</x:v>
      </x:c>
      <x:c r="E79" s="43" t="str">
        <x:v>issuer_datacenter_efficiency_page</x:v>
      </x:c>
      <x:c r="F79" s="43" t="str">
        <x:v>https://datacenters.microsoft.com/sustainability/efficiency/</x:v>
      </x:c>
      <x:c r="G79" s="43" t="str">
        <x:v>microsoft_azure; effective_mw</x:v>
      </x:c>
      <x:c r="H79" s="43" t="str">
        <x:v>active</x:v>
      </x:c>
      <x:c r="I79" s="43" t="str">
        <x:v>FY2025 PUE 1.17; fully owned and controlled full-year sites only</x:v>
      </x:c>
    </x:row>
    <x:row r="80">
      <x:c r="A80" s="19" t="str">
        <x:v>SRC-MSFT-ENV-DATA-FY25</x:v>
      </x:c>
      <x:c r="B80" s="45" t="n">
        <x:v>46217</x:v>
      </x:c>
      <x:c r="C80" s="19" t="str">
        <x:v>Microsoft Corporation</x:v>
      </x:c>
      <x:c r="D80" s="43" t="str">
        <x:v>2026 Environmental Data Fact Sheet</x:v>
      </x:c>
      <x:c r="E80" s="43" t="str">
        <x:v>environmental_data_fact_sheet</x:v>
      </x:c>
      <x:c r="F80" s="43" t="str">
        <x:v>https://cdn-dynmedia-1.microsoft.com/is/content/microsoftcorp/microsoft/msc/documents/presentations/CSR/2026-Microsoft-Environmental-Data-Fact-Sheet-PDF.pdf</x:v>
      </x:c>
      <x:c r="G80" s="43" t="str">
        <x:v>microsoft_azure; effective_mw</x:v>
      </x:c>
      <x:c r="H80" s="43" t="str">
        <x:v>active</x:v>
      </x:c>
      <x:c r="I80" s="43" t="str">
        <x:v>PDF pp.25-26 Table 15; 15,931,489 MWh listed facility electricity</x:v>
      </x:c>
    </x:row>
    <x:row r="81">
      <x:c r="A81" s="19" t="str">
        <x:v>SRC-MSFT-OPENAI-20251028</x:v>
      </x:c>
      <x:c r="B81" s="45" t="n">
        <x:v>45958</x:v>
      </x:c>
      <x:c r="C81" s="19" t="str">
        <x:v>Microsoft Corporation</x:v>
      </x:c>
      <x:c r="D81" s="43" t="str">
        <x:v>The next chapter of the Microsoft-OpenAI partnership</x:v>
      </x:c>
      <x:c r="E81" s="43" t="str">
        <x:v>issuer_partnership_announcement</x:v>
      </x:c>
      <x:c r="F81" s="43" t="str">
        <x:v>https://blogs.microsoft.com/blog/2025/10/28/the-next-chapter-of-the-microsoft-openai-partnership/</x:v>
      </x:c>
      <x:c r="G81" s="43" t="str">
        <x:v>microsoft_azure; contract_economics; open_vs_proprietary</x:v>
      </x:c>
      <x:c r="H81" s="43" t="str">
        <x:v>active</x:v>
      </x:c>
      <x:c r="I81" s="43" t="str">
        <x:v>$250B incremental Azure commitment and partnership terms</x:v>
      </x:c>
    </x:row>
    <x:row r="82">
      <x:c r="A82" s="19" t="str">
        <x:v>SRC-MSFT-OPENAI-20260427</x:v>
      </x:c>
      <x:c r="B82" s="45" t="n">
        <x:v>46139</x:v>
      </x:c>
      <x:c r="C82" s="19" t="str">
        <x:v>Microsoft Corporation</x:v>
      </x:c>
      <x:c r="D82" s="43" t="str">
        <x:v>The next phase of the Microsoft-OpenAI partnership</x:v>
      </x:c>
      <x:c r="E82" s="43" t="str">
        <x:v>issuer_partnership_amendment</x:v>
      </x:c>
      <x:c r="F82" s="43" t="str">
        <x:v>https://blogs.microsoft.com/blog/2026/04/27/the-next-phase-of-the-microsoft-openai-partnership/</x:v>
      </x:c>
      <x:c r="G82" s="43" t="str">
        <x:v>microsoft_azure; contract_economics; open_vs_proprietary</x:v>
      </x:c>
      <x:c r="H82" s="43" t="str">
        <x:v>active</x:v>
      </x:c>
      <x:c r="I82" s="43" t="str">
        <x:v>Primary cloud multi-cloud revenue-share and IP terms amended</x:v>
      </x:c>
    </x:row>
    <x:row r="83">
      <x:c r="A83" s="19" t="str">
        <x:v>SRC-MSFT-POWER-20240920</x:v>
      </x:c>
      <x:c r="B83" s="45" t="n">
        <x:v>45555</x:v>
      </x:c>
      <x:c r="C83" s="19" t="str">
        <x:v>Microsoft Corporation</x:v>
      </x:c>
      <x:c r="D83" s="43" t="str">
        <x:v>Accelerating the addition of carbon-free energy</x:v>
      </x:c>
      <x:c r="E83" s="43" t="str">
        <x:v>issuer_power_procurement_update</x:v>
      </x:c>
      <x:c r="F83" s="43" t="str">
        <x:v>https://www.microsoft.com/en-us/microsoft-cloud/blog/2024/09/20/accelerating-the-addition-of-carbon-free-energy-an-update-on-progress/</x:v>
      </x:c>
      <x:c r="G83" s="43" t="str">
        <x:v>microsoft_azure; contract_economics; power_to_silicon</x:v>
      </x:c>
      <x:c r="H83" s="43" t="str">
        <x:v>active</x:v>
      </x:c>
      <x:c r="I83" s="43" t="str">
        <x:v>Constellation, Brookfield and Powerex arrangements; generation MW kept separate from IT MW</x:v>
      </x:c>
    </x:row>
    <x:row r="84">
      <x:c r="A84" s="20" t="str">
        <x:v>SRC-CEG-MSFT-PPA-20240920</x:v>
      </x:c>
      <x:c r="B84" s="46" t="n">
        <x:v>45555</x:v>
      </x:c>
      <x:c r="C84" s="20" t="str">
        <x:v>Constellation Energy</x:v>
      </x:c>
      <x:c r="D84" s="44" t="str">
        <x:v>Constellation to launch Crane Clean Energy Center</x:v>
      </x:c>
      <x:c r="E84" s="44" t="str">
        <x:v>counterparty_PPA_announcement</x:v>
      </x:c>
      <x:c r="F84" s="44" t="str">
        <x:v>https://www.constellationenergy.com/news/2024/Constellation-to-Launch-Crane-Clean-Energy-Center-Restoring-Jobs-and-Carbon-Free-Power-to-The-Grid.html</x:v>
      </x:c>
      <x:c r="G84" s="44" t="str">
        <x:v>microsoft_azure; contract_economics; power_to_silicon</x:v>
      </x:c>
      <x:c r="H84" s="44" t="str">
        <x:v>active</x:v>
      </x:c>
      <x:c r="I84" s="44" t="str">
        <x:v>20-year PPA; approximately 835 MW to grid; expected online 2028; price undisclosed</x:v>
      </x:c>
    </x:row>
  </x:sheetData>
  <x:pageMargins left="0.7" right="0.7" top="0.75" bottom="0.75" header="0.3" footer="0.3"/>
  <x:tableParts count="1">
    <x:tablePart xmlns:r="http://schemas.openxmlformats.org/officeDocument/2006/relationships" r:id="Rbde42e9552cf4c93"/>
  </x:tableParts>
</x:worksheet>
</file>

<file path=xl/worksheets/sheet7.xml><?xml version="1.0" encoding="utf-8"?>
<x:worksheet xmlns:x="http://schemas.openxmlformats.org/spreadsheetml/2006/main">
  <x:sheetPr>
    <x:tabColor rgb="FF8E9AA3"/>
  </x:sheetPr>
  <x:sheetViews>
    <x:sheetView showGridLines="0" workbookViewId="0"/>
  </x:sheetViews>
  <x:sheetFormatPr defaultRowHeight="15"/>
  <x:cols>
    <x:col min="1" max="1" width="24" hidden="0" customWidth="1"/>
    <x:col min="2" max="2" width="95" hidden="0" customWidth="1"/>
  </x:cols>
  <x:sheetData>
    <x:row r="2">
      <x:c r="A2" s="2" t="str">
        <x:v>How to update this workbook</x:v>
      </x:c>
      <x:c r="B2" s="1"/>
      <x:c r="C2" s="1"/>
      <x:c r="D2" s="1"/>
      <x:c r="E2" s="1"/>
      <x:c r="F2" s="1"/>
    </x:row>
    <x:row r="3">
      <x:c r="A3" s="3" t="str">
        <x:v>The CSV files are the git-diffable input layer; this workbook is the reader-facing calculation layer.</x:v>
      </x:c>
      <x:c r="B3" s="3"/>
      <x:c r="C3" s="3"/>
      <x:c r="D3" s="3"/>
      <x:c r="E3" s="3"/>
      <x:c r="F3" s="3"/>
    </x:row>
    <x:row r="5" ht="32" customHeight="1">
      <x:c r="A5" s="15" t="str">
        <x:v>Rule</x:v>
      </x:c>
      <x:c r="B5" s="17" t="str">
        <x:v>Required action</x:v>
      </x:c>
    </x:row>
    <x:row r="6">
      <x:c r="A6" s="19" t="str">
        <x:v>Power scope</x:v>
      </x:c>
      <x:c r="B6" s="43" t="str">
        <x:v>Label every MW as generation, facility, IT load, or effective utilized IT.</x:v>
      </x:c>
    </x:row>
    <x:row r="7">
      <x:c r="A7" s="19" t="str">
        <x:v>Period</x:v>
      </x:c>
      <x:c r="B7" s="43" t="str">
        <x:v>Match revenue to weighted-average active capacity for the same period.</x:v>
      </x:c>
    </x:row>
    <x:row r="8">
      <x:c r="A8" s="19" t="str">
        <x:v>Attribution</x:v>
      </x:c>
      <x:c r="B8" s="43" t="str">
        <x:v>Keep AI or compute attribution explicit and sourced. Blank is acceptable.</x:v>
      </x:c>
    </x:row>
    <x:row r="9">
      <x:c r="A9" s="19" t="str">
        <x:v>Company method</x:v>
      </x:c>
      <x:c r="B9" s="43" t="str">
        <x:v>Use the registered method; do not force every company through one numerator.</x:v>
      </x:c>
    </x:row>
    <x:row r="10">
      <x:c r="A10" s="19" t="str">
        <x:v>Contracted compute</x:v>
      </x:c>
      <x:c r="B10" s="43" t="str">
        <x:v>Separate contract rate from physical utilization and realized revenue.</x:v>
      </x:c>
    </x:row>
    <x:row r="11">
      <x:c r="A11" s="19" t="str">
        <x:v>Token price</x:v>
      </x:c>
      <x:c r="B11" s="43" t="str">
        <x:v>Use realized expenditure for the Jevons test; list price is a separate series.</x:v>
      </x:c>
    </x:row>
    <x:row r="12">
      <x:c r="A12" s="19" t="str">
        <x:v>Exact break-even</x:v>
      </x:c>
      <x:c r="B12" s="43" t="str">
        <x:v>Price decline d requires volume growth d / (1 - d) to hold revenue flat.</x:v>
      </x:c>
    </x:row>
    <x:row r="13">
      <x:c r="A13" s="19" t="str">
        <x:v>Sources</x:v>
      </x:c>
      <x:c r="B13" s="43" t="str">
        <x:v>Add a source ID before adding a hard-coded observation.</x:v>
      </x:c>
    </x:row>
    <x:row r="14">
      <x:c r="A14" s="19" t="str">
        <x:v>Unknowns</x:v>
      </x:c>
      <x:c r="B14" s="43" t="str">
        <x:v>Leave missing numerators or denominators blank; never replace them with zero.</x:v>
      </x:c>
    </x:row>
    <x:row r="15">
      <x:c r="A15" s="20" t="str">
        <x:v>Corrections</x:v>
      </x:c>
      <x:c r="B15" s="44" t="str">
        <x:v>Retain superseded observations and state what changed.</x:v>
      </x:c>
    </x:row>
  </x:sheetData>
  <x:pageMargins left="0.7" right="0.7" top="0.75" bottom="0.75" header="0.3" footer="0.3"/>
</x:worksheet>
</file>