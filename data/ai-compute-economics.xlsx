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30fa7cf8bd43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a3fda7210954635"/>
    <x:sheet xmlns:r="http://schemas.openxmlformats.org/officeDocument/2006/relationships" name="Company Models" sheetId="2" r:id="R648eda0c68b84666"/>
    <x:sheet xmlns:r="http://schemas.openxmlformats.org/officeDocument/2006/relationships" name="Methods" sheetId="3" r:id="Rce54bc8aeec14764"/>
    <x:sheet xmlns:r="http://schemas.openxmlformats.org/officeDocument/2006/relationships" name="Token Economics" sheetId="4" r:id="Rbfc03ddeccc04104"/>
    <x:sheet xmlns:r="http://schemas.openxmlformats.org/officeDocument/2006/relationships" name="Benchmarks" sheetId="5" r:id="R4177d54573ce4436"/>
    <x:sheet xmlns:r="http://schemas.openxmlformats.org/officeDocument/2006/relationships" name="Sources" sheetId="6" r:id="Ra611178303ae425d"/>
    <x:sheet xmlns:r="http://schemas.openxmlformats.org/officeDocument/2006/relationships" name="Read Me" sheetId="7" r:id="Rc21230771eaa45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46ac3bee6f4450" /><Relationship Type="http://schemas.openxmlformats.org/officeDocument/2006/relationships/theme" Target="/xl/theme/theme1.xml" Id="Rcea153e537174f46" /><Relationship Type="http://schemas.openxmlformats.org/officeDocument/2006/relationships/sharedStrings" Target="/xl/sharedStrings.xml" Id="R51943c7ece514a59" /><Relationship Type="http://schemas.openxmlformats.org/officeDocument/2006/relationships/worksheet" Target="/xl/worksheets/sheet1.xml" Id="Rca3fda7210954635" /><Relationship Type="http://schemas.openxmlformats.org/officeDocument/2006/relationships/worksheet" Target="/xl/worksheets/sheet2.xml" Id="R648eda0c68b84666" /><Relationship Type="http://schemas.openxmlformats.org/officeDocument/2006/relationships/worksheet" Target="/xl/worksheets/sheet3.xml" Id="Rce54bc8aeec14764" /><Relationship Type="http://schemas.openxmlformats.org/officeDocument/2006/relationships/worksheet" Target="/xl/worksheets/sheet4.xml" Id="Rbfc03ddeccc04104" /><Relationship Type="http://schemas.openxmlformats.org/officeDocument/2006/relationships/worksheet" Target="/xl/worksheets/sheet5.xml" Id="R4177d54573ce4436" /><Relationship Type="http://schemas.openxmlformats.org/officeDocument/2006/relationships/worksheet" Target="/xl/worksheets/sheet6.xml" Id="Ra611178303ae425d" /><Relationship Type="http://schemas.openxmlformats.org/officeDocument/2006/relationships/worksheet" Target="/xl/worksheets/sheet7.xml" Id="Rc21230771eaa45ce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207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706819416fc43e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fabf5fe30a849d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97961cb4dfb454d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Bloom Q2 revenue ($B)</x:v>
      </x:c>
      <x:c r="B8" s="54" t="n">
        <x:f>1.065365</x:f>
        <x:v>1.065365</x:v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110" customHeight="1">
      <x:c r="A29" s="62" t="str">
        <x:v>Bloom's Nebius agreement implies an aggregate upper bound of $1.04M per guaranteed generation MW-year ($0.793M per installed generation MW-year), not operator revenue per IT MW. Q2 revenue was $1.065B and 73% came from one non-related contractual customer, which can be a project-finance affiliate. Keep the $25B Brookfield framework, project financing, recognized revenue and generation capacity separate; supplier PUE is not applicable.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6500000000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SRC-ORCL-Q1FY27-DECK</x:v>
      </x:c>
      <x:c r="N9" s="19" t="str">
        <x:v>PARTIAL</x:v>
      </x:c>
      <x:c r="O9" s="43" t="str">
        <x:v>Rounded CPU/GPU revenue excludes database; AI share, hardware adjustment, average active IT MW and physical utilization missing. 97.9% issuer utilization undefined; 850MW additions excluded; matched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/>
      <x:c r="H10" s="23" t="str">
        <x:v>Not disclosed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recognized revenue ceiling; June-heavy activation invalidates midpoint selection. Compute mix, dated IT-MW, power boundary, matched PUE and physical utilization remain missing. Recent ~$40M/MW-year short-contract rate is separate.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guidance 2026-08-26; review 2026-10-08</x:v>
      </x:c>
      <x:c r="D16" s="27"/>
      <x:c r="E16" s="29"/>
      <x:c r="F16" s="31"/>
      <x:c r="G16" s="33"/>
      <x:c r="H16" s="23" t="str">
        <x:v>not_applicable</x:v>
      </x:c>
      <x:c r="I16" s="35"/>
      <x:c r="J16" s="35"/>
      <x:c r="K16" s="35"/>
      <x:c r="L16" s="35"/>
      <x:c r="M16" s="19" t="str">
        <x:v>SRC-NVDA-Q2FY27-001</x:v>
      </x:c>
      <x:c r="N16" s="19" t="str">
        <x:v>VENDOR ONLY</x:v>
      </x:c>
      <x:c r="O16" s="43" t="str">
        <x:v>Supplier PUE not_applicable; 18/25/40B per stated GW opportunities are not verified IT-GW or annual operator revenue; PORTS guarantee density separate</x:v>
      </x:c>
      <x:c r="P16" s="37" t="str">
        <x:f>IF(OR(D16="",E16="",F16=""),"",D16*E16*F16)</x:f>
      </x:c>
      <x:c r="Q16" s="39" t="str">
        <x:f>IF(G16="","",IF(H16="IT load",G16,IF(H16="Facility power",IF(I16="","",G16/I16),IF(H16="Generation",IF(OR(I16="",J16="",K16=""),"",G16*J16*K16/I16),IF(H16="Effective utilized IT",G16,"")))))</x:f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Q3 FY2026</x:v>
      </x:c>
      <x:c r="D17" s="27" t="n">
        <x:v>16700000000</x:v>
      </x:c>
      <x:c r="E17" s="29"/>
      <x:c r="F17" s="31" t="n">
        <x:v>1</x:v>
      </x:c>
      <x:c r="G17" s="33"/>
      <x:c r="H17" s="23"/>
      <x:c r="I17" s="35"/>
      <x:c r="J17" s="35"/>
      <x:c r="K17" s="35"/>
      <x:c r="L17" s="35"/>
      <x:c r="M17" s="19" t="str">
        <x:v>SRC-AVGO-EARNINGS-Q3FY26</x:v>
      </x:c>
      <x:c r="N17" s="19" t="str">
        <x:v>VENDOR ONLY</x:v>
      </x:c>
      <x:c r="O17" s="43" t="str">
        <x:v>Reported AI semiconductor revenue combines custom accelerators and networking. Matched period-average deployed IT-load GW, delivery cohort, architecture split and physical utilization are not disclosed; supplier PUE is not applicable.</x:v>
      </x:c>
      <x:c r="P17" s="37" t="str">
        <x:f>IF(OR(D17="",E17="",F17=""),"",D17*E17*F17)</x:f>
      </x:c>
      <x:c r="Q17" s="39" t="str">
        <x:f>IF(G17="","",IF(H17="IT load",G17,IF(H17="Facility power",IF(I17="","",G17/I17),IF(H17="Generation",IF(OR(I17="",J17="",K17=""),"",G17*J17*K17/I17),IF(H17="Effective utilized IT",G17,"")))))</x:f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Nebius Capacity Agreement / review 2026-10-10</x:v>
      </x:c>
      <x:c r="D18" s="27"/>
      <x:c r="E18" s="29"/>
      <x:c r="F18" s="31"/>
      <x:c r="G18" s="33" t="n">
        <x:v>250</x:v>
      </x:c>
      <x:c r="H18" s="23" t="str">
        <x:v>Guaranteed generation</x:v>
      </x:c>
      <x:c r="I18" s="35"/>
      <x:c r="J18" s="35"/>
      <x:c r="K18" s="35"/>
      <x:c r="L18" s="35"/>
      <x:c r="M18" s="19" t="str">
        <x:v>SRC-NBIS-BE-CAPACITY-20260520</x:v>
      </x:c>
      <x:c r="N18" s="19" t="str">
        <x:v>VENDOR ONLY</x:v>
      </x:c>
      <x:c r="O18" s="43" t="str">
        <x:v>Upper bound $1.04M per guaranteed generation MW-year and $0.793M per installed generation MW-year over disclosed 10-year terms. This is supplier capacity-service economics, not recognized revenue per IT MW. Supplier PUE not_applicable; customer PUE, IT load, utilization, phase timing and fuel/pass-through terms are not disclosed.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Q2 2026; reviewed 2026-10-11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SRC-PLTR-10Q-Q2FY26</x:v>
      </x:c>
      <x:c r="N19" s="20" t="str">
        <x:v>VENDOR ONLY</x:v>
      </x:c>
      <x:c r="O19" s="44" t="str">
        <x:v>Partial software review. AI revenue and active customer IT MW/utilization missing. Supplier PUE not applicable. $5.6B cloud minimum through Feb 2036 is spend, not MW or revenue.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Annualized AI-attributable CPU/GPU revenue less hardware pass-through</x:v>
      </x:c>
      <x:c r="E9" s="43" t="str">
        <x:v>Time-weighted active AI IT MW times matching physical utilization</x:v>
      </x:c>
      <x:c r="F9" s="43" t="str">
        <x:v>Exclude database, RPO, prepayment cash and undefined utilization; require dated active AI IT capacity</x:v>
      </x:c>
      <x:c r="G9" s="43" t="str">
        <x:v>Partial 2026-10-12; AI attribution, active IT MW, physical utilization and matched PUE open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external AI compute recognized revenue</x:v>
      </x:c>
      <x:c r="E10" s="43" t="str">
        <x:v>Time-weighted active AI IT MW times physical utilization</x:v>
      </x:c>
      <x:c r="F10" s="43" t="str">
        <x:v>Remove storage networking and software; keep ~$40M/MW-year recent 3-6 month signed-contract rate separate from recognized revenue; no generic PUE or utilization</x:v>
      </x:c>
      <x:c r="G10" s="43" t="str">
        <x:v>Partial 2026-10-13;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PUE, guidance, contracted sales, realized revenue, and secondary deal-level $/MW estimates separate; preserve GPU generation, tenor, termination rights, service bundle and power boundary</x:v>
      </x:c>
      <x:c r="G14" s="43" t="str">
        <x:v>Partial 2026-10-10; Q2 recognized-revenue model unchanged; secondary SpaceX deal/generation curve added; external allocation, utilization and PUE remain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Verified deployed IT GW; otherwise stated GW separately</x:v>
      </x:c>
      <x:c r="F16" s="43" t="str">
        <x:v>PUE not_applicable; isolate supplier content from recurring revenue and contingent guarantees</x:v>
      </x:c>
      <x:c r="G16" s="43" t="str">
        <x:v>Partial2026-10-08; generation power scope open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Recognized AI semiconductor revenue for the matched delivery cohort</x:v>
      </x:c>
      <x:c r="E17" s="43" t="str">
        <x:v>Matched deployed IT-load GW for the same cohort</x:v>
      </x:c>
      <x:c r="F17" s="43" t="str">
        <x:v>Separate custom accelerators and networking where disclosed; exclude non-AI semiconductors and pass-through rack content</x:v>
      </x:c>
      <x:c r="G17" s="43" t="str">
        <x:v>Partial 2026-10-09; Q3 AI revenue verified; matched IT-load denominator open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Aggregate capacity-service fees for the matched service term</x:v>
      </x:c>
      <x:c r="E18" s="43" t="str">
        <x:v>Guaranteed generation MW-service-years</x:v>
      </x:c>
      <x:c r="F18" s="43" t="str">
        <x:v>Use phase-specific guaranteed generation MW and service years; keep recognized product revenue, financing frameworks, fuel pass-through, unexercised master volumes and customer IT economics separate; supplier PUE not_applicable; installed/guaranteed ratio is not PUE or utilization</x:v>
      </x:c>
      <x:c r="G18" s="43" t="str">
        <x:v>Partial 2026-10-10; Nebius upper bound $1.04M per guaranteed generation MW-year; phase activation, fuel terms and realized revenue open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Annualized attributable incremental AI software revenue; exclude compute and hardware pass-through</x:v>
      </x:c>
      <x:c r="E19" s="44" t="str">
        <x:v>Period-average associated active customer IT MW; separately model physical utilization</x:v>
      </x:c>
      <x:c r="F19" s="44" t="str">
        <x:v>Separate hosted and customer-hosted software; exclude R&amp;D and pilot compute; own PUE not applicable; do not convert minimum cloud spend into MW</x:v>
      </x:c>
      <x:c r="G19" s="44" t="str">
        <x:v>Partial 2026-10-11; revenue attribution and active IT-MW cohorts unavailable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b706819416fc43eb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7fabf5fe30a849de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Numeric columns require verified IT-load GW; scope-unresolved supplier claims remain in notes.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/>
      <x:c r="D8" s="54"/>
      <x:c r="E8" s="54"/>
      <x:c r="F8" s="54"/>
      <x:c r="G8" s="54"/>
      <x:c r="H8" s="19" t="str">
        <x:v>SRC-NVDA-Q2FY27-001</x:v>
      </x:c>
      <x:c r="I8" s="19" t="str">
        <x:v>Company claim</x:v>
      </x:c>
      <x:c r="J8" s="43" t="str">
        <x:v>$18B per stated GW supplier opportunity; IT/facility boundary unstated. IT-normalized numeric cell intentionally blank; not annual revenue.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/>
      <x:c r="D9" s="54"/>
      <x:c r="E9" s="54"/>
      <x:c r="F9" s="54"/>
      <x:c r="G9" s="54"/>
      <x:c r="H9" s="19" t="str">
        <x:v>SRC-NVDA-Q2FY27-001</x:v>
      </x:c>
      <x:c r="I9" s="19" t="str">
        <x:v>Company claim</x:v>
      </x:c>
      <x:c r="J9" s="43" t="str">
        <x:v>$25B per stated GW supplier opportunity; IT/facility boundary unstated. IT-normalized numeric cell intentionally blank; not annual revenue.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/>
      <x:c r="D10" s="54"/>
      <x:c r="E10" s="54"/>
      <x:c r="F10" s="54"/>
      <x:c r="G10" s="54"/>
      <x:c r="H10" s="19" t="str">
        <x:v>SRC-NVDA-Q2FY27-001</x:v>
      </x:c>
      <x:c r="I10" s="19" t="str">
        <x:v>Company claim</x:v>
      </x:c>
      <x:c r="J10" s="43" t="str">
        <x:v>$40B per stated GW supplier opportunity; IT/facility boundary unstated. IT-normalized numeric cell intentionally blank; not annual revenue.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Anthropic / Fluidstack</x:v>
      </x:c>
      <x:c r="C12" s="54"/>
      <x:c r="D12" s="54"/>
      <x:c r="E12" s="54"/>
      <x:c r="F12" s="54"/>
      <x:c r="G12" s="54"/>
      <x:c r="H12" s="19" t="str">
        <x:v>SRC-AVGO-XPV-20260609</x:v>
      </x:c>
      <x:c r="I12" s="19" t="str">
        <x:v>Open</x:v>
      </x:c>
      <x:c r="J12" s="43" t="str">
        <x:v>$35B capital solution for more than 1 stated compute GW; financing transaction, not supplier content, facility cost or recognized revenue. Exact power boundary and cost allocation remain open.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accelerators and networking</x:v>
      </x:c>
      <x:c r="C13" s="55"/>
      <x:c r="D13" s="55"/>
      <x:c r="E13" s="55"/>
      <x:c r="F13" s="55"/>
      <x:c r="G13" s="55"/>
      <x:c r="H13" s="20" t="str">
        <x:v>SRC-AVGO-EARNINGS-Q3FY26</x:v>
      </x:c>
      <x:c r="I13" s="20" t="str">
        <x:v>Open</x:v>
      </x:c>
      <x:c r="J13" s="44" t="str">
        <x:v>Q3 AI semiconductor revenue is reported, but matched deployed IT-load GW and architecture mix are not disclosed; prior compiled numeric anchor superseded.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https://investor.nvidia.com/files/content_files/TRANSCRIPT_-NVIDIA-Corp-NVDA-US-Q2-2027-Earnings-Call-26-August-2026-5_00-PM-ET.pdf</x:v>
      </x:c>
      <x:c r="G13" s="43" t="str">
        <x:v>Hopper Blackwell and Rubin content per GW</x:v>
      </x:c>
      <x:c r="H13" s="43" t="str">
        <x:v>Primary read; scope qualified</x:v>
      </x:c>
      <x:c r="I13" s="43" t="str">
        <x:v>Exact original pinned October 8. Management revenue opportunity per stated GW; call does not explicitly define IT versus facility boundary for ladder. Not realized annual cloud revenue.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Re-read 8-K Item1.01 and Ex99.1: guarantee is IREN parent for its subsidiary, not NVIDIA. This exhibit describes an unnamed $3.4B customer contract and does not identify 60MW or NVIDIA as the customer; prior locator/title alone cannot establish those claims. See SRC-IREN-DELL-EX991-20260526.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19" t="str">
        <x:v>SRC-FT-JUPITER-20260924</x:v>
      </x:c>
      <x:c r="B155" s="45" t="d">
        <x:v>2026-09-24T00:00:00.000Z</x:v>
      </x:c>
      <x:c r="C155" s="19" t="str">
        <x:v>Financial Times Alphaville</x:v>
      </x:c>
      <x:c r="D155" s="43" t="str">
        <x:v>Oracle's New Mexico data-centre financing comes under pressure</x:v>
      </x:c>
      <x:c r="E155" s="43" t="str">
        <x:v>secondary_financing_report</x:v>
      </x:c>
      <x:c r="F155" s="43" t="str">
        <x:v>https://www.ft.com/content/82dbd39c-f8dd-4ef1-8a80-d430a22579bd</x:v>
      </x:c>
      <x:c r="G155" s="43" t="str">
        <x:v>OpenAI / Stargate review 2026-10-07</x:v>
      </x:c>
      <x:c r="H155" s="43" t="str">
        <x:v>Secondary read</x:v>
      </x:c>
      <x:c r="I155" s="43" t="str">
        <x:v>Approx. $18B loans reported at 89-91; not independently verified</x:v>
      </x:c>
    </x:row>
    <x:row r="156">
      <x:c r="A156" s="19" t="str">
        <x:v>SRC-NVDA-10K-FY26</x:v>
      </x:c>
      <x:c r="B156" s="45" t="d">
        <x:v>2026-02-25T00:00:00.000Z</x:v>
      </x:c>
      <x:c r="C156" s="19" t="str">
        <x:v>NVIDIA / SEC</x:v>
      </x:c>
      <x:c r="D156" s="43" t="str">
        <x:v>FY2026 Form 10-K</x:v>
      </x:c>
      <x:c r="E156" s="43" t="str">
        <x:v>10-K</x:v>
      </x:c>
      <x:c r="F156" s="43" t="str">
        <x:v>https://www.sec.gov/Archives/edgar/data/1045810/000104581026000021/nvda-20260125.htm</x:v>
      </x:c>
      <x:c r="G156" s="43" t="str">
        <x:v>NVIDIA supplier economics and financing</x:v>
      </x:c>
      <x:c r="H156" s="43" t="str">
        <x:v>Primary read</x:v>
      </x:c>
      <x:c r="I156" s="43" t="str">
        <x:v>Note 10 p69 facility guarantees; Note 12 p70 commitments; Item 8 financial statements</x:v>
      </x:c>
    </x:row>
    <x:row r="157">
      <x:c r="A157" s="19" t="str">
        <x:v>SRC-NVDA-10Q-Q2FY27</x:v>
      </x:c>
      <x:c r="B157" s="45" t="d">
        <x:v>2026-08-26T00:00:00.000Z</x:v>
      </x:c>
      <x:c r="C157" s="19" t="str">
        <x:v>NVIDIA / SEC</x:v>
      </x:c>
      <x:c r="D157" s="43" t="str">
        <x:v>Q2 FY2027 Form 10-Q</x:v>
      </x:c>
      <x:c r="E157" s="43" t="str">
        <x:v>10-Q</x:v>
      </x:c>
      <x:c r="F157" s="43" t="str">
        <x:v>https://www.sec.gov/Archives/edgar/data/1045810/000104581026000075/nvda-20260726.htm</x:v>
      </x:c>
      <x:c r="G157" s="43" t="str">
        <x:v>NVIDIA supplier economics and financing</x:v>
      </x:c>
      <x:c r="H157" s="43" t="str">
        <x:v>Primary read</x:v>
      </x:c>
      <x:c r="I157" s="43" t="str">
        <x:v>Notes 6-10 pp13-19; MD&amp;A pp25-27; Item 6 p42</x:v>
      </x:c>
    </x:row>
    <x:row r="158">
      <x:c r="A158" s="19" t="str">
        <x:v>SRC-NVDA-CFO-Q2FY27</x:v>
      </x:c>
      <x:c r="B158" s="45" t="d">
        <x:v>2026-08-26T00:00:00.000Z</x:v>
      </x:c>
      <x:c r="C158" s="19" t="str">
        <x:v>NVIDIA / SEC</x:v>
      </x:c>
      <x:c r="D158" s="43" t="str">
        <x:v>Q2 FY2027 CFO commentary</x:v>
      </x:c>
      <x:c r="E158" s="43" t="str">
        <x:v>8-K exhibit</x:v>
      </x:c>
      <x:c r="F158" s="43" t="str">
        <x:v>https://www.sec.gov/Archives/edgar/data/1045810/000104581026000073/q2fy27cfocommentary.htm</x:v>
      </x:c>
      <x:c r="G158" s="43" t="str">
        <x:v>NVIDIA supplier economics and financing</x:v>
      </x:c>
      <x:c r="H158" s="43" t="str">
        <x:v>Primary read</x:v>
      </x:c>
      <x:c r="I158" s="43" t="str">
        <x:v>Revenue by Market Platform; Commitments; Additional Commitments; Guarantees; Balance Sheet and Cash Flow</x:v>
      </x:c>
    </x:row>
    <x:row r="159">
      <x:c r="A159" s="19" t="str">
        <x:v>SRC-NVDA-PORTS-20260817</x:v>
      </x:c>
      <x:c r="B159" s="45" t="d">
        <x:v>2026-08-17T00:00:00.000Z</x:v>
      </x:c>
      <x:c r="C159" s="19" t="str">
        <x:v>NVIDIA</x:v>
      </x:c>
      <x:c r="D159" s="43" t="str">
        <x:v>PORTS-Pike credit support announcement</x:v>
      </x:c>
      <x:c r="E159" s="43" t="str">
        <x:v>issuer_release</x:v>
      </x:c>
      <x:c r="F159" s="43" t="str">
        <x:v>https://investor.nvidia.com/news/press-release-details/2026/NVIDIA-Guarantees-SB-Energys-PORTS-Pike-Technology-Campus-in-Ohio-to-Exclusively-Host-NVIDIA-AI-Compute/default.aspx</x:v>
      </x:c>
      <x:c r="G159" s="43" t="str">
        <x:v>NVIDIA supplier economics and financing</x:v>
      </x:c>
      <x:c r="H159" s="43" t="str">
        <x:v>Primary read</x:v>
      </x:c>
      <x:c r="I159" s="43" t="str">
        <x:v>News Summary and opening paragraphs; initial 4.25 IT-GW and optional 3.75 IT-GW</x:v>
      </x:c>
    </x:row>
    <x:row r="160">
      <x:c r="A160" s="19" t="str">
        <x:v>SRC-NVDA-FINANCE-MOU-20260810</x:v>
      </x:c>
      <x:c r="B160" s="45" t="d">
        <x:v>2026-08-10T00:00:00.000Z</x:v>
      </x:c>
      <x:c r="C160" s="19" t="str">
        <x:v>Blackstone / NVIDIA</x:v>
      </x:c>
      <x:c r="D160" s="43" t="str">
        <x:v>Independent AI compute financing platform MOUs</x:v>
      </x:c>
      <x:c r="E160" s="43" t="str">
        <x:v>counterparty_release</x:v>
      </x:c>
      <x:c r="F160" s="43" t="str">
        <x:v>https://www.blackstone.com/news/press/nvidia-partners-with-apollo-blackrock-blackstone-brookfield-goldman-sachs-and-kkr-to-establish-ai-compute-infrastructure-financing-platforms-to-mobilize-over-500-billion-of-third-party-capital/</x:v>
      </x:c>
      <x:c r="G160" s="43" t="str">
        <x:v>NVIDIA supplier economics and financing</x:v>
      </x:c>
      <x:c r="H160" s="43" t="str">
        <x:v>Primary read</x:v>
      </x:c>
      <x:c r="I160" s="43" t="str">
        <x:v>Opening three paragraphs; Forward-Looking Statements</x:v>
      </x:c>
    </x:row>
    <x:row r="161">
      <x:c r="A161" s="19" t="str">
        <x:v>SRC-NVDA-NOTES-20260618</x:v>
      </x:c>
      <x:c r="B161" s="45" t="d">
        <x:v>2026-06-18T00:00:00.000Z</x:v>
      </x:c>
      <x:c r="C161" s="19" t="str">
        <x:v>NVIDIA / SEC</x:v>
      </x:c>
      <x:c r="D161" s="43" t="str">
        <x:v>Officers certificate and seven note forms</x:v>
      </x:c>
      <x:c r="E161" s="43" t="str">
        <x:v>8-K exhibit 4.2</x:v>
      </x:c>
      <x:c r="F161" s="43" t="str">
        <x:v>https://www.sec.gov/Archives/edgar/data/1045810/000119312526275783/d48176dex42.htm</x:v>
      </x:c>
      <x:c r="G161" s="43" t="str">
        <x:v>NVIDIA supplier economics and financing</x:v>
      </x:c>
      <x:c r="H161" s="43" t="str">
        <x:v>Primary read</x:v>
      </x:c>
      <x:c r="I161" s="43" t="str">
        <x:v>Sections establishing each series: Initial Aggregate Principal Amount, Maturity, Rate of Interest; Annexes A-G</x:v>
      </x:c>
    </x:row>
    <x:row r="162">
      <x:c r="A162" s="19" t="str">
        <x:v>SRC-NVDA-EARNINGS-Q2FY27</x:v>
      </x:c>
      <x:c r="B162" s="45" t="d">
        <x:v>2026-08-26T00:00:00.000Z</x:v>
      </x:c>
      <x:c r="C162" s="19" t="str">
        <x:v>NVIDIA</x:v>
      </x:c>
      <x:c r="D162" s="43" t="str">
        <x:v>Q2 FY2027 financial results</x:v>
      </x:c>
      <x:c r="E162" s="43" t="str">
        <x:v>earnings_release</x:v>
      </x:c>
      <x:c r="F162" s="43" t="str">
        <x:v>https://investor.nvidia.com/news/press-release-details/2026/NVIDIA-Announces-Financial-Results-for-Second-Quarter-Fiscal-2027/default.aspx</x:v>
      </x:c>
      <x:c r="G162" s="43" t="str">
        <x:v>NVIDIA supplier economics and financing</x:v>
      </x:c>
      <x:c r="H162" s="43" t="str">
        <x:v>Primary read</x:v>
      </x:c>
      <x:c r="I162" s="43" t="str">
        <x:v>Opening results; Q2 summary; cash-flow statement</x:v>
      </x:c>
    </x:row>
    <x:row r="163">
      <x:c r="A163" s="19" t="str">
        <x:v>SRC-NVDA-EARNINGS-FY26</x:v>
      </x:c>
      <x:c r="B163" s="45" t="d">
        <x:v>2026-02-25T00:00:00.000Z</x:v>
      </x:c>
      <x:c r="C163" s="19" t="str">
        <x:v>NVIDIA</x:v>
      </x:c>
      <x:c r="D163" s="43" t="str">
        <x:v>Q4 and FY2026 financial results</x:v>
      </x:c>
      <x:c r="E163" s="43" t="str">
        <x:v>earnings_release</x:v>
      </x:c>
      <x:c r="F163" s="43" t="str">
        <x:v>https://investor.nvidia.com/news/press-release-details/2026/NVIDIA-Announces-Financial-Results-for-Fourth-Quarter-and-Fiscal-2026/</x:v>
      </x:c>
      <x:c r="G163" s="43" t="str">
        <x:v>NVIDIA supplier economics and financing</x:v>
      </x:c>
      <x:c r="H163" s="43" t="str">
        <x:v>Primary read</x:v>
      </x:c>
      <x:c r="I163" s="43" t="str">
        <x:v>Fiscal 2026 Summary; Data Center highlights</x:v>
      </x:c>
    </x:row>
    <x:row r="164">
      <x:c r="A164" s="19" t="str">
        <x:v>SRC-IREN-DELL-EX991-20260526</x:v>
      </x:c>
      <x:c r="B164" s="45" t="d">
        <x:v>2026-05-26T00:00:00.000Z</x:v>
      </x:c>
      <x:c r="C164" s="19" t="str">
        <x:v>IREN / SEC</x:v>
      </x:c>
      <x:c r="D164" s="43" t="str">
        <x:v>Dell Blackwell deployment at Childress</x:v>
      </x:c>
      <x:c r="E164" s="43" t="str">
        <x:v>8-K exhibit 99.1</x:v>
      </x:c>
      <x:c r="F164" s="43" t="str">
        <x:v>https://www.sec.gov/Archives/edgar/data/1878848/000187884826000030/irentrgts44bninarrwithbl.htm</x:v>
      </x:c>
      <x:c r="G164" s="43" t="str">
        <x:v>NVIDIA supplier economics and financing</x:v>
      </x:c>
      <x:c r="H164" s="43" t="str">
        <x:v>Primary read</x:v>
      </x:c>
      <x:c r="I164" s="43" t="str">
        <x:v>Ex99.1 pp1-2; related 8-K Item1.01: IREN parent guarantees subsidiary Dell obligations</x:v>
      </x:c>
    </x:row>
    <x:row r="165">
      <x:c r="A165" s="19" t="str">
        <x:v>SRC-XAI-DB-ZH-20261010</x:v>
      </x:c>
      <x:c r="B165" s="45" t="d">
        <x:v>2026-10-10T00:00:00.000Z</x:v>
      </x:c>
      <x:c r="C165" s="19" t="str">
        <x:v>Deutsche Bank Research / ZeroHedge excerpt supplied by user</x:v>
      </x:c>
      <x:c r="D165" s="43" t="str">
        <x:v>SpaceX compute capacity, neocloud deal economics, and annual revenue per GW figures</x:v>
      </x:c>
      <x:c r="E165" s="43" t="str">
        <x:v>User-supplied research screenshots</x:v>
      </x:c>
      <x:c r="F165" s="43"/>
      <x:c r="G165" s="43" t="str">
        <x:v>xAI / SpaceX compute curve; generation density; hosting $/MW; time-to-MW</x:v>
      </x:c>
      <x:c r="H165" s="43" t="str">
        <x:v>Attributed secondary excerpt</x:v>
      </x:c>
      <x:c r="I165" s="43" t="str">
        <x:v>Raw transcription in raw/2026-10-10-spacex-db-compute-curve.md; underlying bank notes not independently accessed</x:v>
      </x:c>
    </x:row>
    <x:row r="166">
      <x:c r="A166" s="19" t="str">
        <x:v>SRC-AVGO-10K-FY25</x:v>
      </x:c>
      <x:c r="B166" s="45" t="d">
        <x:v>2025-12-18T00:00:00.000Z</x:v>
      </x:c>
      <x:c r="C166" s="19" t="str">
        <x:v>Broadcom / SEC</x:v>
      </x:c>
      <x:c r="D166" s="43" t="str">
        <x:v>Broadcom fiscal 2025 Form 10-K</x:v>
      </x:c>
      <x:c r="E166" s="43" t="str">
        <x:v>10-K</x:v>
      </x:c>
      <x:c r="F166" s="43" t="str">
        <x:v>https://www.sec.gov/Archives/edgar/data/1730168/000173016825000121/avgo-20251102.htm</x:v>
      </x:c>
      <x:c r="G166" s="43" t="str">
        <x:v>Broadcom supplier economics and contract baseline</x:v>
      </x:c>
      <x:c r="H166" s="43" t="str">
        <x:v>Primary read</x:v>
      </x:c>
      <x:c r="I166" s="43" t="str">
        <x:v>Business AI perimeter pp4-7; Risk Factors pp16-19; Note 3 RPO p59; Note 14 commitments and concentration p85</x:v>
      </x:c>
    </x:row>
    <x:row r="167">
      <x:c r="A167" s="19" t="str">
        <x:v>SRC-AVGO-10Q-Q3FY26</x:v>
      </x:c>
      <x:c r="B167" s="45" t="d">
        <x:v>2026-09-10T00:00:00.000Z</x:v>
      </x:c>
      <x:c r="C167" s="19" t="str">
        <x:v>Broadcom / SEC</x:v>
      </x:c>
      <x:c r="D167" s="43" t="str">
        <x:v>Broadcom Q3 fiscal 2026 Form 10-Q</x:v>
      </x:c>
      <x:c r="E167" s="43" t="str">
        <x:v>10-Q</x:v>
      </x:c>
      <x:c r="F167" s="43" t="str">
        <x:v>https://www.sec.gov/Archives/edgar/data/1730168/000173016826000080/avgo-20260802.htm</x:v>
      </x:c>
      <x:c r="G167" s="43" t="str">
        <x:v>Broadcom supplier economics commitments and financing</x:v>
      </x:c>
      <x:c r="H167" s="43" t="str">
        <x:v>Primary read</x:v>
      </x:c>
      <x:c r="I167" s="43" t="str">
        <x:v>Note 2 RPO pp9-10; Note 10 commitments guarantee and notes pp20-21; MD&amp;A pp27-31; Risk Factors pp36-43</x:v>
      </x:c>
    </x:row>
    <x:row r="168">
      <x:c r="A168" s="19" t="str">
        <x:v>SRC-AVGO-EARNINGS-Q3FY26</x:v>
      </x:c>
      <x:c r="B168" s="45" t="d">
        <x:v>2026-09-02T00:00:00.000Z</x:v>
      </x:c>
      <x:c r="C168" s="19" t="str">
        <x:v>Broadcom / SEC</x:v>
      </x:c>
      <x:c r="D168" s="43" t="str">
        <x:v>Broadcom Q3 fiscal 2026 financial results</x:v>
      </x:c>
      <x:c r="E168" s="43" t="str">
        <x:v>8-K exhibit 99.1</x:v>
      </x:c>
      <x:c r="F168" s="43" t="str">
        <x:v>https://www.sec.gov/Archives/edgar/data/1730168/000173016826000076/avgo-08022026x8kxex99.htm</x:v>
      </x:c>
      <x:c r="G168" s="43" t="str">
        <x:v>Broadcom AI revenue and cash flow</x:v>
      </x:c>
      <x:c r="H168" s="43" t="str">
        <x:v>Primary read</x:v>
      </x:c>
      <x:c r="I168" s="43" t="str">
        <x:v>Exhibit 99.1 pp1-3: AI semiconductor revenue segment revenue cash flow capex and Q4 guidance</x:v>
      </x:c>
    </x:row>
    <x:row r="169">
      <x:c r="A169" s="19" t="str">
        <x:v>SRC-AVGO-XPV-20260609</x:v>
      </x:c>
      <x:c r="B169" s="45" t="d">
        <x:v>2026-06-09T00:00:00.000Z</x:v>
      </x:c>
      <x:c r="C169" s="19" t="str">
        <x:v>Broadcom</x:v>
      </x:c>
      <x:c r="D169" s="43" t="str">
        <x:v>Broadcom Apollo and Blackstone AI XPV platform</x:v>
      </x:c>
      <x:c r="E169" s="43" t="str">
        <x:v>issuer_release</x:v>
      </x:c>
      <x:c r="F169" s="43" t="str">
        <x:v>https://investors.broadcom.com/news-releases/news-release-details/broadcom-apollo-and-blackstone-establish-landmark-strategic</x:v>
      </x:c>
      <x:c r="G169" s="43" t="str">
        <x:v>Broadcom rack-financing platform and capacity</x:v>
      </x:c>
      <x:c r="H169" s="43" t="str">
        <x:v>Primary read</x:v>
      </x:c>
      <x:c r="I169" s="43" t="str">
        <x:v>Opening: more than 20GW platform; $35B initial tranche for more than 1GW Anthropic capacity at Fluidstack</x:v>
      </x:c>
    </x:row>
    <x:row r="170">
      <x:c r="A170" s="19" t="str">
        <x:v>SRC-APOLLO-AVGO-XPV-20260609</x:v>
      </x:c>
      <x:c r="B170" s="45" t="d">
        <x:v>2026-06-09T00:00:00.000Z</x:v>
      </x:c>
      <x:c r="C170" s="19" t="str">
        <x:v>Apollo</x:v>
      </x:c>
      <x:c r="D170" s="43" t="str">
        <x:v>Apollo-led $35 billion capital solution for Broadcom AI XPV platform</x:v>
      </x:c>
      <x:c r="E170" s="43" t="str">
        <x:v>counterparty_release</x:v>
      </x:c>
      <x:c r="F170" s="43" t="str">
        <x:v>https://www.apollo.com/insights-news/pressreleases/2026/06/apollo-leads-35-billion-capital-solution-for-broadcom-ai-xpv-platform-in-partnership-with-blackstone-and-leading-global-banks-3308896</x:v>
      </x:c>
      <x:c r="G170" s="43" t="str">
        <x:v>Broadcom rack-financing capital structure</x:v>
      </x:c>
      <x:c r="H170" s="43" t="str">
        <x:v>Primary read</x:v>
      </x:c>
      <x:c r="I170" s="43" t="str">
        <x:v>Opening and advisor list: multi-year draw schedule more than 1GW Anthropic compute and bank roles</x:v>
      </x:c>
    </x:row>
    <x:row r="171">
      <x:c r="A171" s="19" t="str">
        <x:v>SRC-AVGO-META-20260414</x:v>
      </x:c>
      <x:c r="B171" s="45" t="d">
        <x:v>2026-04-14T00:00:00.000Z</x:v>
      </x:c>
      <x:c r="C171" s="19" t="str">
        <x:v>Broadcom / Meta</x:v>
      </x:c>
      <x:c r="D171" s="43" t="str">
        <x:v>Extended MTIA partnership through 2029</x:v>
      </x:c>
      <x:c r="E171" s="43" t="str">
        <x:v>issuer_counterparty_release</x:v>
      </x:c>
      <x:c r="F171" s="43" t="str">
        <x:v>https://investors.broadcom.com/news-releases/news-release-details/broadcom-announces-extended-partnership-meta-deploy-technology</x:v>
      </x:c>
      <x:c r="G171" s="43" t="str">
        <x:v>Broadcom future custom accelerator and networking deployments</x:v>
      </x:c>
      <x:c r="H171" s="43" t="str">
        <x:v>Primary read</x:v>
      </x:c>
      <x:c r="I171" s="43" t="str">
        <x:v>Opening: 2nm MTIA; initial more-than-1GW commitment; XPU and Ethernet scope</x:v>
      </x:c>
    </x:row>
    <x:row r="172">
      <x:c r="A172" s="19" t="str">
        <x:v>SRC-AVGO-OPENAI-20251013</x:v>
      </x:c>
      <x:c r="B172" s="45" t="d">
        <x:v>2025-10-13T00:00:00.000Z</x:v>
      </x:c>
      <x:c r="C172" s="19" t="str">
        <x:v>Broadcom / OpenAI</x:v>
      </x:c>
      <x:c r="D172" s="43" t="str">
        <x:v>10GW OpenAI-designed accelerator collaboration</x:v>
      </x:c>
      <x:c r="E172" s="43" t="str">
        <x:v>issuer_counterparty_release</x:v>
      </x:c>
      <x:c r="F172" s="43" t="str">
        <x:v>https://investors.broadcom.com/news-releases/news-release-details/openai-and-broadcom-announce-strategic-collaboration-deploy-10</x:v>
      </x:c>
      <x:c r="G172" s="43" t="str">
        <x:v>Broadcom future custom accelerator and networking deployments</x:v>
      </x:c>
      <x:c r="H172" s="43" t="str">
        <x:v>Primary read</x:v>
      </x:c>
      <x:c r="I172" s="43" t="str">
        <x:v>Opening: accelerator and Ethernet systems; term sheet; rack delivery H2 2026 through end-2029</x:v>
      </x:c>
    </x:row>
    <x:row r="173">
      <x:c r="A173" s="19" t="str">
        <x:v>SRC-BE-10K-FY25</x:v>
      </x:c>
      <x:c r="B173" s="45" t="d">
        <x:v>2026-02-09T00:00:00.000Z</x:v>
      </x:c>
      <x:c r="C173" s="19" t="str">
        <x:v>Bloom Energy / SEC</x:v>
      </x:c>
      <x:c r="D173" s="43" t="str">
        <x:v>Bloom Energy fiscal 2025 Form 10-K</x:v>
      </x:c>
      <x:c r="E173" s="43" t="str">
        <x:v>10-K</x:v>
      </x:c>
      <x:c r="F173" s="43" t="str">
        <x:v>https://www.sec.gov/Archives/edgar/data/1664703/000162828026006516/be-20251231.htm</x:v>
      </x:c>
      <x:c r="G173" s="43" t="str">
        <x:v>Bloom supplier economics revenue concentration financing and commitments</x:v>
      </x:c>
      <x:c r="H173" s="43" t="str">
        <x:v>Primary read</x:v>
      </x:c>
      <x:c r="I173" s="43" t="str">
        <x:v>Statements of Operations; Note 3 revenue concentration and RPO; Note 11 Fund JVs and Brookfield framework; debt and commitments</x:v>
      </x:c>
    </x:row>
    <x:row r="174">
      <x:c r="A174" s="19" t="str">
        <x:v>SRC-BE-10QA-Q2FY26</x:v>
      </x:c>
      <x:c r="B174" s="45" t="d">
        <x:v>2026-07-29T00:00:00.000Z</x:v>
      </x:c>
      <x:c r="C174" s="19" t="str">
        <x:v>Bloom Energy / SEC</x:v>
      </x:c>
      <x:c r="D174" s="43" t="str">
        <x:v>Bloom Energy Q2 2026 Form 10-Q/A</x:v>
      </x:c>
      <x:c r="E174" s="43" t="str">
        <x:v>10-Q/A</x:v>
      </x:c>
      <x:c r="F174" s="43" t="str">
        <x:v>https://www.sec.gov/Archives/edgar/data/1664703/000162828026050325/be-20260630.htm</x:v>
      </x:c>
      <x:c r="G174" s="43" t="str">
        <x:v>Bloom quarterly revenue concentration cash debt RPO JVs and Oracle warrant</x:v>
      </x:c>
      <x:c r="H174" s="43" t="str">
        <x:v>Primary read</x:v>
      </x:c>
      <x:c r="I174" s="43" t="str">
        <x:v>Statements of Operations; Notes 3 11 12 and 13; liquidity and debt tables</x:v>
      </x:c>
    </x:row>
    <x:row r="175">
      <x:c r="A175" s="19" t="str">
        <x:v>SRC-BE-EARNINGS-Q2FY26</x:v>
      </x:c>
      <x:c r="B175" s="45" t="d">
        <x:v>2026-07-28T00:00:00.000Z</x:v>
      </x:c>
      <x:c r="C175" s="19" t="str">
        <x:v>Bloom Energy / SEC</x:v>
      </x:c>
      <x:c r="D175" s="43" t="str">
        <x:v>Bloom Energy Q2 2026 financial results</x:v>
      </x:c>
      <x:c r="E175" s="43" t="str">
        <x:v>8-K exhibit 99.1</x:v>
      </x:c>
      <x:c r="F175" s="43" t="str">
        <x:v>https://www.sec.gov/Archives/edgar/data/1664703/000162828026050150/ex991_q226financialresults.htm</x:v>
      </x:c>
      <x:c r="G175" s="43" t="str">
        <x:v>Bloom quarterly results cash flow and guidance</x:v>
      </x:c>
      <x:c r="H175" s="43" t="str">
        <x:v>Primary read</x:v>
      </x:c>
      <x:c r="I175" s="43" t="str">
        <x:v>Financial highlights revenue table cash-flow summary and fiscal 2026 outlook</x:v>
      </x:c>
    </x:row>
    <x:row r="176">
      <x:c r="A176" s="19" t="str">
        <x:v>SRC-NBIS-BE-CAPACITY-20260520</x:v>
      </x:c>
      <x:c r="B176" s="45" t="d">
        <x:v>2026-05-20T00:00:00.000Z</x:v>
      </x:c>
      <x:c r="C176" s="19" t="str">
        <x:v>Nebius / SEC</x:v>
      </x:c>
      <x:c r="D176" s="43" t="str">
        <x:v>Nebius Capacity Agreement with Bloom Energy</x:v>
      </x:c>
      <x:c r="E176" s="43" t="str">
        <x:v>6-K</x:v>
      </x:c>
      <x:c r="F176" s="43" t="str">
        <x:v>https://www.sec.gov/Archives/edgar/data/0001965040/000121390026052737/ea0243376-6k_nebius.htm</x:v>
      </x:c>
      <x:c r="G176" s="43" t="str">
        <x:v>Bloom contracted generation and capacity-service economics</x:v>
      </x:c>
      <x:c r="H176" s="43" t="str">
        <x:v>Primary read</x:v>
      </x:c>
      <x:c r="I176" s="43" t="str">
        <x:v>Agreement entered May 14; three 10-year phases; about250MW guaranteed and328MW installed generation; up to2.6B aggregate service fees</x:v>
      </x:c>
    </x:row>
    <x:row r="177">
      <x:c r="A177" s="19" t="str">
        <x:v>SRC-NBIS-BE-RELEASE-20260520</x:v>
      </x:c>
      <x:c r="B177" s="45" t="d">
        <x:v>2026-05-20T00:00:00.000Z</x:v>
      </x:c>
      <x:c r="C177" s="19" t="str">
        <x:v>Nebius</x:v>
      </x:c>
      <x:c r="D177" s="43" t="str">
        <x:v>Nebius and Bloom Energy partner for AI infrastructure power</x:v>
      </x:c>
      <x:c r="E177" s="43" t="str">
        <x:v>counterparty_release</x:v>
      </x:c>
      <x:c r="F177" s="43" t="str">
        <x:v>https://nebius.com/newsroom/nebius-and-bloom-energy-partner-to-power-ai-infrastructure-build-out</x:v>
      </x:c>
      <x:c r="G177" s="43" t="str">
        <x:v>Bloom deployment timing and behind-the-meter boundary</x:v>
      </x:c>
      <x:c r="H177" s="43" t="str">
        <x:v>Primary read</x:v>
      </x:c>
      <x:c r="I177" s="43" t="str">
        <x:v>Opening:328MW installed behind-the-meter generation expected operational in 2026</x:v>
      </x:c>
    </x:row>
    <x:row r="178">
      <x:c r="A178" s="19" t="str">
        <x:v>SRC-IDF-OAKTREE-BE-20260716</x:v>
      </x:c>
      <x:c r="B178" s="45" t="d">
        <x:v>2026-07-16T00:00:00.000Z</x:v>
      </x:c>
      <x:c r="C178" s="19" t="str">
        <x:v>IDF / Oaktree</x:v>
      </x:c>
      <x:c r="D178" s="43" t="str">
        <x:v>$1.7 billion project investment for Bloom fuel cells serving Nebius</x:v>
      </x:c>
      <x:c r="E178" s="43" t="str">
        <x:v>project_finance_release</x:v>
      </x:c>
      <x:c r="F178" s="43" t="str">
        <x:v>https://www.prnewswire.com/news-releases/industrial-development-funding-and-oaktree-announce-1-7-billion-project-investment-in-bloom-energy-fuel-cells-for-nebius-ai-infrastructure-build-out-302827566.html</x:v>
      </x:c>
      <x:c r="G178" s="43" t="str">
        <x:v>Bloom Nebius project-finance capital stack</x:v>
      </x:c>
      <x:c r="H178" s="43" t="str">
        <x:v>Primary read</x:v>
      </x:c>
      <x:c r="I178" s="43" t="str">
        <x:v>IDF developer; Oaktree minority equity; Morgan Stanley tax equity and placement agent; MUFG senior debt</x:v>
      </x:c>
    </x:row>
    <x:row r="179">
      <x:c r="A179" s="19" t="str">
        <x:v>SRC-BE-BROOKFIELD-20260630</x:v>
      </x:c>
      <x:c r="B179" s="45" t="d">
        <x:v>2026-06-30T00:00:00.000Z</x:v>
      </x:c>
      <x:c r="C179" s="19" t="str">
        <x:v>Bloom Energy / Brookfield</x:v>
      </x:c>
      <x:c r="D179" s="43" t="str">
        <x:v>Brookfield and Bloom expand AI infrastructure financing framework to $25 billion</x:v>
      </x:c>
      <x:c r="E179" s="43" t="str">
        <x:v>issuer_release</x:v>
      </x:c>
      <x:c r="F179" s="43" t="str">
        <x:v>https://investor.bloomenergy.com/press-releases/press-release-details/2026/Brookfield-and-Bloom-Energy-Expand-AI-Infrastructure-Partnership-to-25-Billion-Fivefold-Increase-to-Build-and-Finance-Rapid-Power-for-AI-Infrastructure/default.aspx</x:v>
      </x:c>
      <x:c r="G179" s="43" t="str">
        <x:v>Bloom financing framework</x:v>
      </x:c>
      <x:c r="H179" s="43" t="str">
        <x:v>Primary read</x:v>
      </x:c>
      <x:c r="I179" s="43" t="str">
        <x:v>Framework expanded from5B to25B over five years; not recognized revenue or RPO</x:v>
      </x:c>
    </x:row>
    <x:row r="180">
      <x:c r="A180" s="19" t="str">
        <x:v>SRC-BE-ORCL-20260413</x:v>
      </x:c>
      <x:c r="B180" s="45" t="d">
        <x:v>2026-04-13T00:00:00.000Z</x:v>
      </x:c>
      <x:c r="C180" s="19" t="str">
        <x:v>Bloom Energy / Oracle</x:v>
      </x:c>
      <x:c r="D180" s="43" t="str">
        <x:v>Bloom and Oracle expand strategic partnership to up to 2.8 GW</x:v>
      </x:c>
      <x:c r="E180" s="43" t="str">
        <x:v>issuer_release</x:v>
      </x:c>
      <x:c r="F180" s="43" t="str">
        <x:v>https://investor.bloomenergy.com/press-releases/press-release-details/2026/Bloom-Energy-and-Oracle-Expand-Strategic-Partnership-to-Deploy-up-to-2-8-GW-to-Accelerate-AI-Infrastructure-Build-Out/default.aspx</x:v>
      </x:c>
      <x:c r="G180" s="43" t="str">
        <x:v>Bloom future Oracle generation deployment</x:v>
      </x:c>
      <x:c r="H180" s="43" t="str">
        <x:v>Primary read</x:v>
      </x:c>
      <x:c r="I180" s="43" t="str">
        <x:v>Up to2.8GW;1.2GW contracted and deploying into next year; first system delivered in55 days</x:v>
      </x:c>
    </x:row>
    <x:row r="181">
      <x:c r="A181" s="19" t="str">
        <x:v>SRC-ORCL-JUPITER-BE-20260427</x:v>
      </x:c>
      <x:c r="B181" s="45" t="d">
        <x:v>2026-04-27T00:00:00.000Z</x:v>
      </x:c>
      <x:c r="C181" s="19" t="str">
        <x:v>Oracle / BorderPlex</x:v>
      </x:c>
      <x:c r="D181" s="43" t="str">
        <x:v>Oracle BorderPlex and Bloom to power Project Jupiter</x:v>
      </x:c>
      <x:c r="E181" s="43" t="str">
        <x:v>counterparty_release</x:v>
      </x:c>
      <x:c r="F181" s="43" t="str">
        <x:v>https://www.oracle.com/news/announcement/oracle-borderplex-and-bloom-energy-to-power-project-jupiter-with-fuel-cell-technology-2026-04-27/</x:v>
      </x:c>
      <x:c r="G181" s="43" t="str">
        <x:v>Bloom Project Jupiter generation perimeter</x:v>
      </x:c>
      <x:c r="H181" s="43" t="str">
        <x:v>Primary read</x:v>
      </x:c>
      <x:c r="I181" s="43" t="str">
        <x:v>Up to2.45GW installed fuel-cell generation; Oracle bears energy costs; no IT-load or PUE disclosure</x:v>
      </x:c>
    </x:row>
    <x:row r="182">
      <x:c r="A182" s="19" t="str">
        <x:v>SRC-BE-800V-20260916</x:v>
      </x:c>
      <x:c r="B182" s="45" t="d">
        <x:v>2026-09-16T00:00:00.000Z</x:v>
      </x:c>
      <x:c r="C182" s="19" t="str">
        <x:v>Bloom Energy</x:v>
      </x:c>
      <x:c r="D182" s="43" t="str">
        <x:v>Bloom 800V DC-native power cost model</x:v>
      </x:c>
      <x:c r="E182" s="43" t="str">
        <x:v>issuer_modeled_claim</x:v>
      </x:c>
      <x:c r="F182" s="43" t="str">
        <x:v>https://investor.bloomenergy.com/press-releases/press-release-details/2026/Bloom-Energys-800V-DC-Native-Power-Can-Cut-Billions-from-AI-Data-Center-Costs-Reduce-Power-Use-and-Eliminate-Need-for-Transformers/default.aspx</x:v>
      </x:c>
      <x:c r="G182" s="43" t="str">
        <x:v>Bloom company modeled DC power economics</x:v>
      </x:c>
      <x:c r="H182" s="43" t="str">
        <x:v>Primary read</x:v>
      </x:c>
      <x:c r="I182" s="43" t="str">
        <x:v>Illustrative1GW site claims3.6B non-compute capex and5.5B five-year TCO savings; not audited realized economics or PUE</x:v>
      </x:c>
    </x:row>
    <x:row r="183">
      <x:c r="A183" s="19" t="str">
        <x:v>SRC-PLTR-10K-FY25</x:v>
      </x:c>
      <x:c r="B183" s="45" t="d">
        <x:v>2026-02-17T00:00:00.000Z</x:v>
      </x:c>
      <x:c r="C183" s="19" t="str">
        <x:v>Palantir Technologies Inc.</x:v>
      </x:c>
      <x:c r="D183" s="43" t="str">
        <x:v>Palantir FY2025 Form 10-K</x:v>
      </x:c>
      <x:c r="E183" s="43" t="str">
        <x:v>10-K</x:v>
      </x:c>
      <x:c r="F183" s="43" t="str">
        <x:v>https://www.sec.gov/Archives/edgar/data/1321655/000132165526000011/pltr-20251231.htm</x:v>
      </x:c>
      <x:c r="G183" s="43" t="str">
        <x:v>Palantir company review</x:v>
      </x:c>
      <x:c r="H183" s="43" t="str">
        <x:v>Primary read</x:v>
      </x:c>
      <x:c r="I183" s="43" t="str">
        <x:v>Statements of Operations p86; Material Cash Requirements p78; Note 2 pp93-95; Notes 6-8 pp100-103; Item 15 exhibit index; </x:v>
      </x:c>
    </x:row>
    <x:row r="184">
      <x:c r="A184" s="19" t="str">
        <x:v>SRC-PLTR-10Q-Q2FY26</x:v>
      </x:c>
      <x:c r="B184" s="45" t="d">
        <x:v>2026-08-04T00:00:00.000Z</x:v>
      </x:c>
      <x:c r="C184" s="19" t="str">
        <x:v>Palantir Technologies Inc.</x:v>
      </x:c>
      <x:c r="D184" s="43" t="str">
        <x:v>Palantir Q2 2026 Form 10-Q</x:v>
      </x:c>
      <x:c r="E184" s="43" t="str">
        <x:v>10-Q</x:v>
      </x:c>
      <x:c r="F184" s="43" t="str">
        <x:v>https://www.sec.gov/Archives/edgar/data/1321655/000132165526000041/pltr-20260630.htm</x:v>
      </x:c>
      <x:c r="G184" s="43" t="str">
        <x:v>Palantir company review</x:v>
      </x:c>
      <x:c r="H184" s="43" t="str">
        <x:v>Primary read</x:v>
      </x:c>
      <x:c r="I184" s="43" t="str">
        <x:v>Balance Sheet p3; Operations p4; Note 3 p11; Notes 6-7 pp13-14; MD&amp;A pp29-33; investment risk p55; cloud-provider risk pp58-59; Item 6 p88; SEC filing date is August 4; document signatures and issuer PDF are dated August 3. Both HTML and issuer PDF read.</x:v>
      </x:c>
    </x:row>
    <x:row r="185">
      <x:c r="A185" s="19" t="str">
        <x:v>SRC-PLTR-10Q-Q1FY26</x:v>
      </x:c>
      <x:c r="B185" s="45" t="d">
        <x:v>2026-05-05T00:00:00.000Z</x:v>
      </x:c>
      <x:c r="C185" s="19" t="str">
        <x:v>Palantir Technologies Inc.</x:v>
      </x:c>
      <x:c r="D185" s="43" t="str">
        <x:v>Palantir Q1 2026 Form 10-Q</x:v>
      </x:c>
      <x:c r="E185" s="43" t="str">
        <x:v>10-Q</x:v>
      </x:c>
      <x:c r="F185" s="43" t="str">
        <x:v>https://www.sec.gov/Archives/edgar/data/1321655/000132165526000028/pltr-20260331.htm</x:v>
      </x:c>
      <x:c r="G185" s="43" t="str">
        <x:v>Palantir company review</x:v>
      </x:c>
      <x:c r="H185" s="43" t="str">
        <x:v>Primary read</x:v>
      </x:c>
      <x:c r="I185" s="43" t="str">
        <x:v>Note 7 Purchase Commitments; Item 6 exhibit index p86; Read to establish first disclosure of March amendment; not an additional commitment on top of Q2.</x:v>
      </x:c>
    </x:row>
    <x:row r="186">
      <x:c r="A186" s="19" t="str">
        <x:v>SRC-PLTR-Q2FY26-ER</x:v>
      </x:c>
      <x:c r="B186" s="45" t="d">
        <x:v>2026-08-03T00:00:00.000Z</x:v>
      </x:c>
      <x:c r="C186" s="19" t="str">
        <x:v>Palantir Technologies Inc.</x:v>
      </x:c>
      <x:c r="D186" s="43" t="str">
        <x:v>Palantir Q2 2026 earnings release furnished as Exhibit 99.1</x:v>
      </x:c>
      <x:c r="E186" s="43" t="str">
        <x:v>8-K_exhibit</x:v>
      </x:c>
      <x:c r="F186" s="43" t="str">
        <x:v>https://www.sec.gov/Archives/edgar/data/1321655/000132165526000039/a2026q2ex991pressrelease.htm</x:v>
      </x:c>
      <x:c r="G186" s="43" t="str">
        <x:v>Palantir company review</x:v>
      </x:c>
      <x:c r="H186" s="43" t="str">
        <x:v>Primary read</x:v>
      </x:c>
      <x:c r="I186" s="43" t="str">
        <x:v>Q2 Highlights; Financial Summary; Statements of Operations; Reconciliation of Adjusted Free Cash Flow; </x:v>
      </x:c>
    </x:row>
    <x:row r="187">
      <x:c r="A187" s="19" t="str">
        <x:v>SRC-PLTR-Q2FY26-DECK</x:v>
      </x:c>
      <x:c r="B187" s="45" t="d">
        <x:v>2026-08-03T00:00:00.000Z</x:v>
      </x:c>
      <x:c r="C187" s="19" t="str">
        <x:v>Palantir Technologies Inc.</x:v>
      </x:c>
      <x:c r="D187" s="43" t="str">
        <x:v>Palantir Q2 2026 Business Update</x:v>
      </x:c>
      <x:c r="E187" s="43" t="str">
        <x:v>issuer_presentation</x:v>
      </x:c>
      <x:c r="F187" s="43" t="str">
        <x:v>https://investors.palantir.com/files/Palantir%20-%20Q2%202026%20Business%20Update.pdf</x:v>
      </x:c>
      <x:c r="G187" s="43" t="str">
        <x:v>Palantir company review</x:v>
      </x:c>
      <x:c r="H187" s="43" t="str">
        <x:v>Primary read</x:v>
      </x:c>
      <x:c r="I187" s="43" t="str">
        <x:v>Slides 4-5, 11, 14, 19-20, 23-24, 27, 29; Full PDF retrieved directly and text extracted; web renderer rejected 16.3MB size. Company strategy statements are claims, not measured token economics.</x:v>
      </x:c>
    </x:row>
    <x:row r="188">
      <x:c r="A188" s="19" t="str">
        <x:v>SRC-PLTR-FILING-INDEX-20261011</x:v>
      </x:c>
      <x:c r="B188" s="45" t="d">
        <x:v>2026-10-11T00:00:00.000Z</x:v>
      </x:c>
      <x:c r="C188" s="19" t="str">
        <x:v>Palantir Technologies Inc.</x:v>
      </x:c>
      <x:c r="D188" s="43" t="str">
        <x:v>Palantir SEC submissions index checked October 11 2026</x:v>
      </x:c>
      <x:c r="E188" s="43" t="str">
        <x:v>regulator_index</x:v>
      </x:c>
      <x:c r="F188" s="43" t="str">
        <x:v>https://data.sec.gov/submissions/CIK0001321655.json</x:v>
      </x:c>
      <x:c r="G188" s="43" t="str">
        <x:v>Palantir company review</x:v>
      </x:c>
      <x:c r="H188" s="43" t="str">
        <x:v>Primary read</x:v>
      </x:c>
      <x:c r="I188" s="43" t="str">
        <x:v>filings.recent form, filingDate, accessionNumber and primaryDocument; Latest 10-K FY2025 and 10-Q June 30 2026. Latest indexed 8-K August 3 earnings; Q1/Q2 exhibit lists contain no full cloud-hosting amendment.</x:v>
      </x:c>
    </x:row>
    <x:row r="189">
      <x:c r="A189" s="19" t="str">
        <x:v>SRC-PLTR-NVDA-SOVEREIGN-20260910</x:v>
      </x:c>
      <x:c r="B189" s="45" t="d">
        <x:v>2026-09-10T00:00:00.000Z</x:v>
      </x:c>
      <x:c r="C189" s="19" t="str">
        <x:v>NVIDIA</x:v>
      </x:c>
      <x:c r="D189" s="43" t="str">
        <x:v>NVIDIA and Palantir Bring Sovereign Intelligence to Critical Supply Chains</x:v>
      </x:c>
      <x:c r="E189" s="43" t="str">
        <x:v>counterparty_release</x:v>
      </x:c>
      <x:c r="F189" s="43" t="str">
        <x:v>https://nvidianews.nvidia.com/news/nvidia-and-palantir-bring-sovereign-intelligence-to-critical-supply-chains</x:v>
      </x:c>
      <x:c r="G189" s="43" t="str">
        <x:v>Palantir company review</x:v>
      </x:c>
      <x:c r="H189" s="43" t="str">
        <x:v>Primary read</x:v>
      </x:c>
      <x:c r="I189" s="43" t="str">
        <x:v>News Summary; Open Models; Built for Sovereign Enterprise-Scale Deployment; Deployment begins inside NVIDIA operations. No contract value, GPU count, IT MW, PUE, deployment revenue or measured savings disclosed.</x:v>
      </x:c>
    </x:row>
    <x:row r="190">
      <x:c r="A190" s="19" t="str">
        <x:v>SRC-ORCL-Q1FY27-DECK</x:v>
      </x:c>
      <x:c r="B190" s="45" t="d">
        <x:v>2026-09-10T00:00:00.000Z</x:v>
      </x:c>
      <x:c r="C190" s="19" t="str">
        <x:v>Oracle (issuer presentation on third-party mirror)</x:v>
      </x:c>
      <x:c r="D190" s="43" t="str">
        <x:v>Q1 FY2027 earnings presentation</x:v>
      </x:c>
      <x:c r="E190" s="43" t="str">
        <x:v>issuer_presentation</x:v>
      </x:c>
      <x:c r="F190" s="43" t="str">
        <x:v>https://csv-storage.forexpros.com/slides/597927154e234fcd26fe6003bd5d184554884a6499af9b3bf8ed3ef5bf2d8d24.pdf</x:v>
      </x:c>
      <x:c r="G190" s="43" t="str">
        <x:v>Oracle OCI review</x:v>
      </x:c>
      <x:c r="H190" s="43" t="str">
        <x:v>Read 2026-10-12</x:v>
      </x:c>
      <x:c r="I190" s="43" t="str">
        <x:v>Full 15-slide issuer-authored document read. Oracle IR endpoint unavailable; mirror provenance explicit. Rounded financial totals reconcile to SEC filing; utilization and renewal premium are management claims.</x:v>
      </x:c>
    </x:row>
    <x:row r="191">
      <x:c r="A191" s="19" t="str">
        <x:v>SRC-ORCL-CDP-2025-READ20261012</x:v>
      </x:c>
      <x:c r="B191" s="45"/>
      <x:c r="C191" s="19" t="str">
        <x:v>Oracle</x:v>
      </x:c>
      <x:c r="D191" s="43" t="str">
        <x:v>CDP climate questionnaire 2025</x:v>
      </x:c>
      <x:c r="E191" s="43" t="str">
        <x:v>issuer_sustainability_questionnaire</x:v>
      </x:c>
      <x:c r="F191" s="43" t="str">
        <x:v>https://www.oracle.com/a/ocom/docs/cdp-climate-change-questionnaire.pdf</x:v>
      </x:c>
      <x:c r="G191" s="43" t="str">
        <x:v>Oracle OCI review</x:v>
      </x:c>
      <x:c r="H191" s="43" t="str">
        <x:v>Read 2026-10-12</x:v>
      </x:c>
      <x:c r="I191" s="43" t="str">
        <x:v>Copyright 2026 does not establish publication date. Oracle describes invoice-based IT power and site-average PUE inputs for leased-site non-IT emissions estimation, but does not publish usable matched site PUE inputs.</x:v>
      </x:c>
    </x:row>
    <x:row r="192">
      <x:c r="A192" s="19" t="str">
        <x:v>SRC-ORCL-PUE-BLOG-20201204</x:v>
      </x:c>
      <x:c r="B192" s="45" t="d">
        <x:v>2020-12-04T00:00:00.000Z</x:v>
      </x:c>
      <x:c r="C192" s="19" t="str">
        <x:v>Oracle</x:v>
      </x:c>
      <x:c r="D192" s="43" t="str">
        <x:v>Sustainability 2025: Oracle renews commitment to environmental goals</x:v>
      </x:c>
      <x:c r="E192" s="43" t="str">
        <x:v>issuer_blog</x:v>
      </x:c>
      <x:c r="F192" s="43" t="str">
        <x:v>https://blogs.oracle.com/sustainability/sustainability-2025-oracle-renews-commitment-to-environmental-goals</x:v>
      </x:c>
      <x:c r="G192" s="43" t="str">
        <x:v>Oracle OCI review</x:v>
      </x:c>
      <x:c r="H192" s="43" t="str">
        <x:v>Read 2026-10-12</x:v>
      </x:c>
      <x:c r="I192" s="43" t="str">
        <x:v>2025 in title is target year, not publication year. Best-case historical site claim only; not a current fleet average.</x:v>
      </x:c>
    </x:row>
    <x:row r="193">
      <x:c r="A193" s="19" t="str">
        <x:v>SRC-ORCL-PLANET-READ20261012</x:v>
      </x:c>
      <x:c r="B193" s="45"/>
      <x:c r="C193" s="19" t="str">
        <x:v>Oracle</x:v>
      </x:c>
      <x:c r="D193" s="43" t="str">
        <x:v>Planet sustainability goals</x:v>
      </x:c>
      <x:c r="E193" s="43" t="str">
        <x:v>issuer_webpage</x:v>
      </x:c>
      <x:c r="F193" s="43" t="str">
        <x:v>https://www.oracle.com/social-impact/planet/</x:v>
      </x:c>
      <x:c r="G193" s="43" t="str">
        <x:v>Oracle OCI review</x:v>
      </x:c>
      <x:c r="H193" s="43" t="str">
        <x:v>Read 2026-10-12</x:v>
      </x:c>
      <x:c r="I193" s="43" t="str">
        <x:v>Current webpage read; does not give numeric matched PUE. Separate 2035 custom-cluster goal must not be collapsed into public-cloud goal.</x:v>
      </x:c>
    </x:row>
    <x:row r="194">
      <x:c r="A194" s="19" t="str">
        <x:v>SRC-ORCL-SEC-INDEX-20261012</x:v>
      </x:c>
      <x:c r="B194" s="45" t="d">
        <x:v>2026-10-12T00:00:00.000Z</x:v>
      </x:c>
      <x:c r="C194" s="19" t="str">
        <x:v>SEC</x:v>
      </x:c>
      <x:c r="D194" s="43" t="str">
        <x:v>Oracle submissions index through October 12</x:v>
      </x:c>
      <x:c r="E194" s="43" t="str">
        <x:v>regulatory_index</x:v>
      </x:c>
      <x:c r="F194" s="43" t="str">
        <x:v>https://data.sec.gov/submissions/CIK0001341439.json</x:v>
      </x:c>
      <x:c r="G194" s="43" t="str">
        <x:v>Oracle OCI review</x:v>
      </x:c>
      <x:c r="H194" s="43" t="str">
        <x:v>Read 2026-10-12</x:v>
      </x:c>
      <x:c r="I194" s="43" t="str">
        <x:v>Latest 10-K June22, 10-Q September11 and 8-K September14. Retrieval date is snapshot date, not filing publication date.</x:v>
      </x:c>
    </x:row>
    <x:row r="195">
      <x:c r="A195" s="19" t="str">
        <x:v>SRC-ORCL-8K-20260914</x:v>
      </x:c>
      <x:c r="B195" s="45" t="d">
        <x:v>2026-09-14T00:00:00.000Z</x:v>
      </x:c>
      <x:c r="C195" s="19" t="str">
        <x:v>Oracle / SEC</x:v>
      </x:c>
      <x:c r="D195" s="43" t="str">
        <x:v>September 14 Form 8-K</x:v>
      </x:c>
      <x:c r="E195" s="43" t="str">
        <x:v>8-K</x:v>
      </x:c>
      <x:c r="F195" s="43" t="str">
        <x:v>https://www.sec.gov/Archives/edgar/data/1341439/000119312526389753/d20034d8k.htm</x:v>
      </x:c>
      <x:c r="G195" s="43" t="str">
        <x:v>Oracle OCI review</x:v>
      </x:c>
      <x:c r="H195" s="43" t="str">
        <x:v>Read 2026-10-12</x:v>
      </x:c>
      <x:c r="I195" s="43" t="str">
        <x:v>Entire short filing read. Larry Ellison canceled trading plan; no sales. Does not disclose disposition of September lessor guarantee.</x:v>
      </x:c>
    </x:row>
    <x:row r="196">
      <x:c r="A196" s="19" t="str">
        <x:v>SRC-ORCL-424B5-20260623</x:v>
      </x:c>
      <x:c r="B196" s="45" t="d">
        <x:v>2026-06-23T00:00:00.000Z</x:v>
      </x:c>
      <x:c r="C196" s="19" t="str">
        <x:v>Oracle / SEC</x:v>
      </x:c>
      <x:c r="D196" s="43" t="str">
        <x:v>ATM prospectus supplement adding sales agents</x:v>
      </x:c>
      <x:c r="E196" s="43" t="str">
        <x:v>424B5</x:v>
      </x:c>
      <x:c r="F196" s="43" t="str">
        <x:v>https://www.sec.gov/Archives/edgar/data/1341439/000119312526278585/d120346d424b5.htm</x:v>
      </x:c>
      <x:c r="G196" s="43" t="str">
        <x:v>Oracle OCI review</x:v>
      </x:c>
      <x:c r="H196" s="43" t="str">
        <x:v>Read 2026-10-12</x:v>
      </x:c>
      <x:c r="I196" s="43" t="str">
        <x:v>Adds agents, not another $20B authorization; Q1 10-Q subsequently reports full utilization.</x:v>
      </x:c>
    </x:row>
    <x:row r="197">
      <x:c r="A197" s="19" t="str">
        <x:v>SRC-ORCL-Q1FY27-TRANSCRIPT</x:v>
      </x:c>
      <x:c r="B197" s="45" t="d">
        <x:v>2026-09-11T00:00:00.000Z</x:v>
      </x:c>
      <x:c r="C197" s="19" t="str">
        <x:v>The Motley Fool (transcript of Oracle management)</x:v>
      </x:c>
      <x:c r="D197" s="43" t="str">
        <x:v>Oracle Q1 FY2027 earnings-call transcript</x:v>
      </x:c>
      <x:c r="E197" s="43" t="str">
        <x:v>secondary_transcript</x:v>
      </x:c>
      <x:c r="F197" s="43" t="str">
        <x:v>https://www.fool.com/earnings/call-transcripts/2026/09/11/oracle-orcl-q1-2027-earnings-call-transcript/</x:v>
      </x:c>
      <x:c r="G197" s="43" t="str">
        <x:v>Oracle OCI review</x:v>
      </x:c>
      <x:c r="H197" s="43" t="str">
        <x:v>Read 2026-10-12</x:v>
      </x:c>
      <x:c r="I197" s="43" t="str">
        <x:v>Prepared remarks and Q&amp;A read; not checked against audio. Obvious 3 thousand GPUs transcription discrepancy is overridden by primary earnings release &gt;300,000. Management delivery claims are not independently verified energized capacity.</x:v>
      </x:c>
    </x:row>
    <x:row r="198">
      <x:c r="A198" s="19" t="str">
        <x:v>SRC-NMED-JUPITER-20261012</x:v>
      </x:c>
      <x:c r="B198" s="45" t="d">
        <x:v>2026-10-12T00:00:00.000Z</x:v>
      </x:c>
      <x:c r="C198" s="19" t="str">
        <x:v>New Mexico Environment Department</x:v>
      </x:c>
      <x:c r="D198" s="43" t="str">
        <x:v>Project Jupiter microgrid permit stay: October12 snapshot</x:v>
      </x:c>
      <x:c r="E198" s="43" t="str">
        <x:v>regulatory_status_snapshot</x:v>
      </x:c>
      <x:c r="F198" s="43" t="str">
        <x:v>https://www.env.nm.gov/</x:v>
      </x:c>
      <x:c r="G198" s="43" t="str">
        <x:v>Oracle OCI review</x:v>
      </x:c>
      <x:c r="H198" s="43" t="str">
        <x:v>Read 2026-10-12</x:v>
      </x:c>
      <x:c r="I198" s="43" t="str">
        <x:v>Date is observation date; page says Supreme Court has stayed process. No signed judicial order or final permit independently obtained; does not prove cancellation.</x:v>
      </x:c>
    </x:row>
    <x:row r="199">
      <x:c r="A199" s="19" t="str">
        <x:v>SRC-NMED-JUPITER-DOCKET-20261012</x:v>
      </x:c>
      <x:c r="B199" s="45" t="d">
        <x:v>2026-10-12T00:00:00.000Z</x:v>
      </x:c>
      <x:c r="C199" s="19" t="str">
        <x:v>New Mexico Environment Department</x:v>
      </x:c>
      <x:c r="D199" s="43" t="str">
        <x:v>Yucca Growth Infrastructure microgrid permit docket snapshot</x:v>
      </x:c>
      <x:c r="E199" s="43" t="str">
        <x:v>regulatory_docket_snapshot</x:v>
      </x:c>
      <x:c r="F199" s="43" t="str">
        <x:v>https://www.env.nm.gov/public-notices/yucca-growth-infrastructure-llc-ygi-microgrid/</x:v>
      </x:c>
      <x:c r="G199" s="43" t="str">
        <x:v>Oracle OCI review</x:v>
      </x:c>
      <x:c r="H199" s="43" t="str">
        <x:v>Read 2026-10-12</x:v>
      </x:c>
      <x:c r="I199" s="43" t="str">
        <x:v>Docket read; no final permit seen in displayed documents. Dynamic hearing-calendar link did not expose order text.</x:v>
      </x:c>
    </x:row>
    <x:row r="200">
      <x:c r="A200" s="19" t="str">
        <x:v>SRC-CRWV-SEC-INDEX-20261013</x:v>
      </x:c>
      <x:c r="B200" s="45" t="d">
        <x:v>2026-10-13T00:00:00.000Z</x:v>
      </x:c>
      <x:c r="C200" s="19" t="str">
        <x:v>SEC</x:v>
      </x:c>
      <x:c r="D200" s="43" t="str">
        <x:v>CoreWeave submissions index checked October 13 2026</x:v>
      </x:c>
      <x:c r="E200" s="43" t="str">
        <x:v>regulator_index</x:v>
      </x:c>
      <x:c r="F200" s="43" t="str">
        <x:v>https://data.sec.gov/submissions/CIK0001769628.json</x:v>
      </x:c>
      <x:c r="G200" s="43" t="str">
        <x:v>CoreWeave review</x:v>
      </x:c>
      <x:c r="H200" s="43" t="str">
        <x:v>Read 2026-10-13</x:v>
      </x:c>
      <x:c r="I200" s="43" t="str">
        <x:v>Latest material financial filing is September 22 convertible close; October 13 entries are Forms 144.</x:v>
      </x:c>
    </x:row>
    <x:row r="201">
      <x:c r="A201" s="19" t="str">
        <x:v>SRC-CRWV-Q2FY26-DECK</x:v>
      </x:c>
      <x:c r="B201" s="45" t="d">
        <x:v>2026-08-11T00:00:00.000Z</x:v>
      </x:c>
      <x:c r="C201" s="19" t="str">
        <x:v>CoreWeave</x:v>
      </x:c>
      <x:c r="D201" s="43" t="str">
        <x:v>Q2 2026 Earnings Presentation</x:v>
      </x:c>
      <x:c r="E201" s="43" t="str">
        <x:v>issuer_presentation</x:v>
      </x:c>
      <x:c r="F201" s="43" t="str">
        <x:v>https://s205.q4cdn.com/133937190/files/doc_financials/2026/q2/CoreWeave-Q2-26-Earnings-Presentation.pdf</x:v>
      </x:c>
      <x:c r="G201" s="43" t="str">
        <x:v>CoreWeave review</x:v>
      </x:c>
      <x:c r="H201" s="43" t="str">
        <x:v>Read 2026-10-13</x:v>
      </x:c>
      <x:c r="I201" s="43" t="str">
        <x:v>Full 23-page presentation; active power boundary remains undefined.</x:v>
      </x:c>
    </x:row>
    <x:row r="202">
      <x:c r="A202" s="19" t="str">
        <x:v>SRC-CRWV-Q2FY26-OUTLOOK</x:v>
      </x:c>
      <x:c r="B202" s="45" t="d">
        <x:v>2026-08-11T00:00:00.000Z</x:v>
      </x:c>
      <x:c r="C202" s="19" t="str">
        <x:v>CoreWeave</x:v>
      </x:c>
      <x:c r="D202" s="43" t="str">
        <x:v>Q2 2026 Earnings Outlook Presentation</x:v>
      </x:c>
      <x:c r="E202" s="43" t="str">
        <x:v>issuer_presentation</x:v>
      </x:c>
      <x:c r="F202" s="43" t="str">
        <x:v>https://s205.q4cdn.com/133937190/files/doc_financials/2026/q2/CoreWeave-Q2-26-Earnings-Outlook-Presentation.pdf</x:v>
      </x:c>
      <x:c r="G202" s="43" t="str">
        <x:v>CoreWeave review</x:v>
      </x:c>
      <x:c r="H202" s="43" t="str">
        <x:v>Read 2026-10-13</x:v>
      </x:c>
      <x:c r="I202" s="43" t="str">
        <x:v>Guidance and ARR kept separate from Q2 recognized revenue.</x:v>
      </x:c>
    </x:row>
    <x:row r="203">
      <x:c r="A203" s="19" t="str">
        <x:v>SRC-CRWV-Q2FY26-CALL</x:v>
      </x:c>
      <x:c r="B203" s="45" t="d">
        <x:v>2026-08-11T00:00:00.000Z</x:v>
      </x:c>
      <x:c r="C203" s="19" t="str">
        <x:v>CoreWeave</x:v>
      </x:c>
      <x:c r="D203" s="43" t="str">
        <x:v>Corrected transcript of Q2 2026 earnings call</x:v>
      </x:c>
      <x:c r="E203" s="43" t="str">
        <x:v>issuer_hosted_transcript</x:v>
      </x:c>
      <x:c r="F203" s="43" t="str">
        <x:v>https://s205.q4cdn.com/133937190/files/doc_financials/2026/q2/CRWV-US-CORRECTED-TRANSCRIPT-CoreWeave-Q2-2026-Earnings-Call-11August2026.pdf</x:v>
      </x:c>
      <x:c r="G203" s="43" t="str">
        <x:v>CoreWeave review</x:v>
      </x:c>
      <x:c r="H203" s="43" t="str">
        <x:v>Read 2026-10-13</x:v>
      </x:c>
      <x:c r="I203" s="43" t="str">
        <x:v>Management claims labeled; more than 300MW activated in June.</x:v>
      </x:c>
    </x:row>
    <x:row r="204">
      <x:c r="A204" s="19" t="str">
        <x:v>SRC-CRWV-CONVERT-DECK-20260917</x:v>
      </x:c>
      <x:c r="B204" s="45" t="d">
        <x:v>2026-09-17T00:00:00.000Z</x:v>
      </x:c>
      <x:c r="C204" s="19" t="str">
        <x:v>CoreWeave / SEC</x:v>
      </x:c>
      <x:c r="D204" s="43" t="str">
        <x:v>Convertible offering supplemental presentation</x:v>
      </x:c>
      <x:c r="E204" s="43" t="str">
        <x:v>8-K Exhibit 99.2</x:v>
      </x:c>
      <x:c r="F204" s="43" t="str">
        <x:v>https://www.sec.gov/Archives/edgar/data/1769628/000176962826000429/crwv2026convertpresentat.htm</x:v>
      </x:c>
      <x:c r="G204" s="43" t="str">
        <x:v>CoreWeave review</x:v>
      </x:c>
      <x:c r="H204" s="43" t="str">
        <x:v>Read 2026-10-13</x:v>
      </x:c>
      <x:c r="I204" s="43" t="str">
        <x:v>Full deck; $40M/MW is scoped signed-contract rate not recognized revenue per effective IT MW.</x:v>
      </x:c>
    </x:row>
    <x:row r="205">
      <x:c r="A205" s="19" t="str">
        <x:v>SRC-CRWV-8K-CONVERT-20260917</x:v>
      </x:c>
      <x:c r="B205" s="45" t="d">
        <x:v>2026-09-17T00:00:00.000Z</x:v>
      </x:c>
      <x:c r="C205" s="19" t="str">
        <x:v>CoreWeave / SEC</x:v>
      </x:c>
      <x:c r="D205" s="43" t="str">
        <x:v>Convertible notes and equity distribution Form 8-K</x:v>
      </x:c>
      <x:c r="E205" s="43" t="str">
        <x:v>8-K</x:v>
      </x:c>
      <x:c r="F205" s="43" t="str">
        <x:v>https://www.sec.gov/Archives/edgar/data/1769628/000176962826000429/crwv-20260917.htm</x:v>
      </x:c>
      <x:c r="G205" s="43" t="str">
        <x:v>CoreWeave review</x:v>
      </x:c>
      <x:c r="H205" s="43" t="str">
        <x:v>Read 2026-10-13</x:v>
      </x:c>
      <x:c r="I205" s="43" t="str">
        <x:v>Initial offering and equity distribution terms read.</x:v>
      </x:c>
    </x:row>
    <x:row r="206">
      <x:c r="A206" s="19" t="str">
        <x:v>SRC-CRWV-424B5-CONVERT-20260918</x:v>
      </x:c>
      <x:c r="B206" s="45" t="d">
        <x:v>2026-09-18T00:00:00.000Z</x:v>
      </x:c>
      <x:c r="C206" s="19" t="str">
        <x:v>CoreWeave / SEC</x:v>
      </x:c>
      <x:c r="D206" s="43" t="str">
        <x:v>Prospectus supplement for 2.875% convertible senior notes due 2033</x:v>
      </x:c>
      <x:c r="E206" s="43" t="str">
        <x:v>424B5</x:v>
      </x:c>
      <x:c r="F206" s="43" t="str">
        <x:v>https://www.sec.gov/Archives/edgar/data/1769628/000162828026062362/coreweave-424b5.htm</x:v>
      </x:c>
      <x:c r="G206" s="43" t="str">
        <x:v>CoreWeave review</x:v>
      </x:c>
      <x:c r="H206" s="43" t="str">
        <x:v>Read 2026-10-13</x:v>
      </x:c>
      <x:c r="I206" s="43" t="str">
        <x:v>Final prospectus; general-purpose use and capped-call terms.</x:v>
      </x:c>
    </x:row>
    <x:row r="207">
      <x:c r="A207" s="20" t="str">
        <x:v>SRC-CRWV-8K-CONVERT-CLOSE-20260922</x:v>
      </x:c>
      <x:c r="B207" s="46" t="d">
        <x:v>2026-09-22T00:00:00.000Z</x:v>
      </x:c>
      <x:c r="C207" s="20" t="str">
        <x:v>CoreWeave / SEC</x:v>
      </x:c>
      <x:c r="D207" s="44" t="str">
        <x:v>Convertible senior notes closing Form 8-K</x:v>
      </x:c>
      <x:c r="E207" s="44" t="str">
        <x:v>8-K</x:v>
      </x:c>
      <x:c r="F207" s="44" t="str">
        <x:v>https://www.sec.gov/Archives/edgar/data/1769628/000176962826000432/crwv-20260917.htm</x:v>
      </x:c>
      <x:c r="G207" s="44" t="str">
        <x:v>CoreWeave review</x:v>
      </x:c>
      <x:c r="H207" s="44" t="str">
        <x:v>Read 2026-10-13</x:v>
      </x:c>
      <x:c r="I207" s="44" t="str">
        <x:v>$4.2B principal; $4.137B net before other expenses; $566.2M capped-call cost.</x:v>
      </x:c>
    </x:row>
  </x:sheetData>
  <x:pageMargins left="0.7" right="0.7" top="0.75" bottom="0.75" header="0.3" footer="0.3"/>
  <x:tableParts count="1">
    <x:tablePart xmlns:r="http://schemas.openxmlformats.org/officeDocument/2006/relationships" r:id="R197961cb4dfb454d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