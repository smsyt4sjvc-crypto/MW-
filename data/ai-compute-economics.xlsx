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35f770af154e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7462a04965e4e37"/>
    <x:sheet xmlns:r="http://schemas.openxmlformats.org/officeDocument/2006/relationships" name="Company Models" sheetId="2" r:id="R3d09ef5a820e42b3"/>
    <x:sheet xmlns:r="http://schemas.openxmlformats.org/officeDocument/2006/relationships" name="Methods" sheetId="3" r:id="Rbe3dc5fb3a904f3d"/>
    <x:sheet xmlns:r="http://schemas.openxmlformats.org/officeDocument/2006/relationships" name="Token Economics" sheetId="4" r:id="R8cb0fd8943ba44ac"/>
    <x:sheet xmlns:r="http://schemas.openxmlformats.org/officeDocument/2006/relationships" name="Benchmarks" sheetId="5" r:id="Ra52dbec6e8f543c7"/>
    <x:sheet xmlns:r="http://schemas.openxmlformats.org/officeDocument/2006/relationships" name="Sources" sheetId="6" r:id="Re4b308c2d7d44753"/>
    <x:sheet xmlns:r="http://schemas.openxmlformats.org/officeDocument/2006/relationships" name="Read Me" sheetId="7" r:id="R828b41ab2b774c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>
      <x:left/>
      <x:right/>
      <x:top/>
      <x:bottom/>
      <x:diagonal/>
    </x:border>
    <x:border>
      <x:left/>
      <x:right/>
      <x:top/>
      <x:bottom style="thin">
        <x:color rgb="FF23415C"/>
      </x:bottom>
      <x:diagonal/>
    </x:border>
    <x:border>
      <x:left/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/>
      <x:top/>
      <x:bottom style="medium">
        <x:color rgb="FF23415C"/>
      </x:bottom>
      <x:diagonal/>
    </x:border>
    <x:border>
      <x:left/>
      <x:right/>
      <x:top/>
      <x:bottom style="thin">
        <x:color rgb="FFD9E1E8"/>
      </x:bottom>
      <x:diagonal/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9c37a0d63f4dc9" /><Relationship Type="http://schemas.openxmlformats.org/officeDocument/2006/relationships/theme" Target="/xl/theme/theme1.xml" Id="R2a44c0ee6af64648" /><Relationship Type="http://schemas.openxmlformats.org/officeDocument/2006/relationships/sharedStrings" Target="/xl/sharedStrings.xml" Id="Rcb017dce748f4bde" /><Relationship Type="http://schemas.openxmlformats.org/officeDocument/2006/relationships/worksheet" Target="/xl/worksheets/sheet1.xml" Id="R67462a04965e4e37" /><Relationship Type="http://schemas.openxmlformats.org/officeDocument/2006/relationships/worksheet" Target="/xl/worksheets/sheet2.xml" Id="R3d09ef5a820e42b3" /><Relationship Type="http://schemas.openxmlformats.org/officeDocument/2006/relationships/worksheet" Target="/xl/worksheets/sheet3.xml" Id="Rbe3dc5fb3a904f3d" /><Relationship Type="http://schemas.openxmlformats.org/officeDocument/2006/relationships/worksheet" Target="/xl/worksheets/sheet4.xml" Id="R8cb0fd8943ba44ac" /><Relationship Type="http://schemas.openxmlformats.org/officeDocument/2006/relationships/worksheet" Target="/xl/worksheets/sheet5.xml" Id="Ra52dbec6e8f543c7" /><Relationship Type="http://schemas.openxmlformats.org/officeDocument/2006/relationships/worksheet" Target="/xl/worksheets/sheet6.xml" Id="Re4b308c2d7d44753" /><Relationship Type="http://schemas.openxmlformats.org/officeDocument/2006/relationships/worksheet" Target="/xl/worksheets/sheet7.xml" Id="R828b41ab2b774c2d" /></Relationships>
</file>

<file path=xl/tables/table1.xml><?xml version="1.0" encoding="utf-8"?>
<x:table xmlns:x="http://schemas.openxmlformats.org/spreadsheetml/2006/main" id="1" name="CompanyMethodsTable" displayName="CompanyMethodsTable" ref="A4:G19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32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134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801260d1ca5f402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bac0a80a0cf488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69ff014de7454947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15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Models'!S5:S19)</x:f>
        <x:v>0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Nscale recognized revenue ($M / effective MW-year)</x:v>
      </x:c>
      <x:c r="B8" s="58" t="str">
        <x:f>'Company Models'!S13</x:f>
      </x:c>
      <x:c r="D8" s="19" t="str">
        <x:v>Nscale / Anthropic</x:v>
      </x:c>
      <x:c r="E8" s="54"/>
      <x:c r="F8" s="54"/>
      <x:c r="G8" s="19" t="str">
        <x:v>Unresolved</x:v>
      </x:c>
      <x:c r="H8" s="19" t="str">
        <x:v>Capacity, term and rate redacted; see primary review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IFERROR(INDEX(Methods!$C$5:$C$19,MATCH(B13,Methods!$A$5:$A$19,0)),"")</x:f>
        <x:v>Hyperscaler</x:v>
      </x:c>
      <x:c r="D13" s="19" t="str">
        <x:f>'Company Models'!N5</x:f>
        <x:v>PARTIAL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IFERROR(INDEX(Methods!$C$5:$C$19,MATCH(B14,Methods!$A$5:$A$19,0)),"")</x:f>
        <x:v>Hyperscaler</x:v>
      </x:c>
      <x:c r="D14" s="19" t="str">
        <x:f>'Company Models'!N6</x:f>
        <x:v>PARTIAL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IFERROR(INDEX(Methods!$C$5:$C$19,MATCH(B15,Methods!$A$5:$A$19,0)),"")</x:f>
        <x:v>Hyperscaler</x:v>
      </x:c>
      <x:c r="D15" s="19" t="str">
        <x:f>'Company Models'!N7</x:f>
        <x:v>PARTIAL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IFERROR(INDEX(Methods!$C$5:$C$19,MATCH(B16,Methods!$A$5:$A$19,0)),"")</x:f>
        <x:v>Internal compute</x:v>
      </x:c>
      <x:c r="D16" s="19" t="str">
        <x:f>'Company Models'!N8</x:f>
        <x:v>PARTIAL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IFERROR(INDEX(Methods!$C$5:$C$19,MATCH(B17,Methods!$A$5:$A$19,0)),"")</x:f>
        <x:v>Hyperscaler</x:v>
      </x:c>
      <x:c r="D17" s="19" t="str">
        <x:f>'Company Models'!N9</x:f>
        <x:v>PARTIAL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IFERROR(INDEX(Methods!$C$5:$C$19,MATCH(B18,Methods!$A$5:$A$19,0)),"")</x:f>
        <x:v>Neocloud</x:v>
      </x:c>
      <x:c r="D18" s="19" t="str">
        <x:f>'Company Models'!N10</x:f>
        <x:v>PARTIAL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IFERROR(INDEX(Methods!$C$5:$C$19,MATCH(B19,Methods!$A$5:$A$19,0)),"")</x:f>
        <x:v>Neocloud</x:v>
      </x:c>
      <x:c r="D19" s="19" t="str">
        <x:f>'Company Models'!N11</x:f>
        <x:v>PARTIAL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IFERROR(INDEX(Methods!$C$5:$C$19,MATCH(B20,Methods!$A$5:$A$19,0)),"")</x:f>
        <x:v>Neocloud</x:v>
      </x:c>
      <x:c r="D20" s="19" t="str">
        <x:f>'Company Models'!N12</x:f>
        <x:v>PARTIAL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IFERROR(INDEX(Methods!$C$5:$C$19,MATCH(B21,Methods!$A$5:$A$19,0)),"")</x:f>
        <x:v>Contracted compute</x:v>
      </x:c>
      <x:c r="D21" s="19" t="str">
        <x:f>'Company Models'!N13</x:f>
        <x:v>PARTIAL</x:v>
      </x:c>
      <x:c r="E21" s="58" t="str">
        <x:f>IF('Company Models'!S13="","",'Company Models'!S13)</x:f>
      </x:c>
      <x:c r="F21" s="19" t="str">
        <x:f>'Company Models'!T13</x:f>
        <x:v>Missing numerator or denominator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IFERROR(INDEX(Methods!$C$5:$C$19,MATCH(B22,Methods!$A$5:$A$19,0)),"")</x:f>
        <x:v>Reference operator</x:v>
      </x:c>
      <x:c r="D22" s="19" t="str">
        <x:f>'Company Models'!N14</x:f>
        <x:v>GUIDANCE ONLY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IFERROR(INDEX(Methods!$C$5:$C$19,MATCH(B23,Methods!$A$5:$A$19,0)),"")</x:f>
        <x:v>Reference project</x:v>
      </x:c>
      <x:c r="D23" s="19" t="str">
        <x:f>'Company Models'!N15</x:f>
        <x:v>CAPEX ONLY</x:v>
      </x:c>
      <x:c r="E23" s="58" t="str">
        <x:f>IF('Company Models'!S15="","",'Company Models'!S15)</x:f>
      </x:c>
      <x:c r="F23" s="19" t="str">
        <x:f>'Company Models'!T15</x:f>
        <x:v>Not an operator output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IFERROR(INDEX(Methods!$C$5:$C$19,MATCH(B24,Methods!$A$5:$A$19,0)),"")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19" t="str">
        <x:f>'Company Models'!A17</x:f>
        <x:v>Broadcom</x:v>
      </x:c>
      <x:c r="B25" s="19" t="str">
        <x:f>'Company Models'!B17</x:f>
        <x:v>VENDOR-AVGO</x:v>
      </x:c>
      <x:c r="C25" s="19" t="str">
        <x:f>IFERROR(INDEX(Methods!$C$5:$C$19,MATCH(B25,Methods!$A$5:$A$19,0)),"")</x:f>
        <x:v>Silicon vendor</x:v>
      </x:c>
      <x:c r="D25" s="19" t="str">
        <x:f>'Company Models'!N17</x:f>
        <x:v>VENDOR ONLY</x:v>
      </x:c>
      <x:c r="E25" s="58" t="str">
        <x:f>IF('Company Models'!S17="","",'Company Models'!S17)</x:f>
      </x:c>
      <x:c r="F25" s="19" t="str">
        <x:f>'Company Models'!T17</x:f>
        <x:v>Not an operator output</x:v>
      </x:c>
    </x:row>
    <x:row r="26">
      <x:c r="A26" s="19" t="str">
        <x:f>'Company Models'!A18</x:f>
        <x:v>Bloom Energy</x:v>
      </x:c>
      <x:c r="B26" s="19" t="str">
        <x:f>'Company Models'!B18</x:f>
        <x:v>SUPPLIER-BLOOM</x:v>
      </x:c>
      <x:c r="C26" s="19" t="str">
        <x:f>IFERROR(INDEX(Methods!$C$5:$C$19,MATCH(B26,Methods!$A$5:$A$19,0)),"")</x:f>
        <x:v>Power supplier</x:v>
      </x:c>
      <x:c r="D26" s="19" t="str">
        <x:f>'Company Models'!N18</x:f>
        <x:v>VENDOR ONLY</x:v>
      </x:c>
      <x:c r="E26" s="58" t="str">
        <x:f>IF('Company Models'!S18="","",'Company Models'!S18)</x:f>
      </x:c>
      <x:c r="F26" s="19" t="str">
        <x:f>'Company Models'!T18</x:f>
        <x:v>Not an operator output</x:v>
      </x:c>
    </x:row>
    <x:row r="27">
      <x:c r="A27" s="20" t="str">
        <x:f>'Company Models'!A19</x:f>
        <x:v>Palantir</x:v>
      </x:c>
      <x:c r="B27" s="20" t="str">
        <x:f>'Company Models'!B19</x:f>
        <x:v>SOFTWARE-PLTR</x:v>
      </x:c>
      <x:c r="C27" s="20" t="str">
        <x:f>IFERROR(INDEX(Methods!$C$5:$C$19,MATCH(B27,Methods!$A$5:$A$19,0)),"")</x:f>
        <x:v>Software</x:v>
      </x:c>
      <x:c r="D27" s="20" t="str">
        <x:f>'Company Models'!N19</x:f>
        <x:v>VENDOR ONLY</x:v>
      </x:c>
      <x:c r="E27" s="59" t="str">
        <x:f>IF('Company Models'!S19="","",'Company Models'!S19)</x:f>
      </x:c>
      <x:c r="F27" s="20" t="str">
        <x:f>'Company Models'!T19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68" customHeight="1">
      <x:c r="A29" s="62" t="str">
        <x:v>Rubin raises NVIDIA content per IT-load GW from $25B to $40B, about 60%. Operator revenue/GW must rise comparably to preserve gross-revenue payback. If revenue/GW stays flat again, vendor economics strengthen while operator replacement economics deteriorate.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30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Q4 FY2026</x:v>
      </x:c>
      <x:c r="D5" s="27" t="n">
        <x:v>29417000000</x:v>
      </x:c>
      <x:c r="E5" s="29" t="n">
        <x:v>4</x:v>
      </x:c>
      <x:c r="F5" s="31"/>
      <x:c r="G5" s="33"/>
      <x:c r="H5" s="23"/>
      <x:c r="I5" s="35"/>
      <x:c r="J5" s="35"/>
      <x:c r="K5" s="35"/>
      <x:c r="L5" s="35"/>
      <x:c r="M5" s="19" t="str">
        <x:v>SRC-MSFT-SEGMENT-EX99-20260902</x:v>
      </x:c>
      <x:c r="N5" s="19" t="str">
        <x:v>PARTIAL</x:v>
      </x:c>
      <x:c r="O5" s="43" t="str">
        <x:v>Restated Azure revenue; AI share, period-average active AI IT MW, physical utilization and matched full-fleet PUE missing. FY2025 PUE 1.17 and implied 1.55GW owned-fleet IT load are boundary diagnostics only; Q4 1GW addition excluded.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Q2 2026</x:v>
      </x:c>
      <x:c r="D6" s="27" t="n">
        <x:v>42232000000</x:v>
      </x:c>
      <x:c r="E6" s="29" t="n">
        <x:v>4</x:v>
      </x:c>
      <x:c r="F6" s="31"/>
      <x:c r="G6" s="33"/>
      <x:c r="H6" s="23"/>
      <x:c r="I6" s="35"/>
      <x:c r="J6" s="35"/>
      <x:c r="K6" s="35"/>
      <x:c r="L6" s="35"/>
      <x:c r="M6" s="19" t="str">
        <x:v>SRC-AMZN-10Q-Q2FY26</x:v>
      </x:c>
      <x:c r="N6" s="19" t="str">
        <x:v>PARTIAL</x:v>
      </x:c>
      <x:c r="O6" s="43" t="str">
        <x:v>AWS all services; AI/chips run rates overlap and are not Q2 AI revenue. Active AI IT MW and utilization missing. 2025 PUE 1.14 is historical only.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Q2 2026</x:v>
      </x:c>
      <x:c r="D7" s="27" t="n">
        <x:v>24768000000</x:v>
      </x:c>
      <x:c r="E7" s="29" t="n">
        <x:v>4</x:v>
      </x:c>
      <x:c r="F7" s="31"/>
      <x:c r="G7" s="33"/>
      <x:c r="H7" s="23"/>
      <x:c r="I7" s="35"/>
      <x:c r="J7" s="35"/>
      <x:c r="K7" s="35"/>
      <x:c r="L7" s="35"/>
      <x:c r="M7" s="19" t="str">
        <x:v>SRC-GOOG-10Q-Q2FY26</x:v>
      </x:c>
      <x:c r="N7" s="19" t="str">
        <x:v>PARTIAL</x:v>
      </x:c>
      <x:c r="O7" s="43" t="str">
        <x:v>Google Cloud includes GCP, Workspace, security/data services and newly recognized TPU system sales. External AI-compute attribution, period-average active external AI IT MW, physical utilization and matched GCP-only PUE remain missing. Fleet TTM PUE 1.09 is a proxy only.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Q2 2026</x:v>
      </x:c>
      <x:c r="D8" s="27" t="n">
        <x:v>60801000000</x:v>
      </x:c>
      <x:c r="E8" s="29" t="n">
        <x:v>4</x:v>
      </x:c>
      <x:c r="F8" s="31"/>
      <x:c r="G8" s="33"/>
      <x:c r="H8" s="23"/>
      <x:c r="I8" s="35"/>
      <x:c r="J8" s="35"/>
      <x:c r="K8" s="35"/>
      <x:c r="L8" s="35"/>
      <x:c r="M8" s="19" t="str">
        <x:v>SRC-META-10Q-Q2FY26</x:v>
      </x:c>
      <x:c r="N8" s="19" t="str">
        <x:v>PARTIAL</x:v>
      </x:c>
      <x:c r="O8" s="43" t="str">
        <x:v>Total revenue is a diagnostic only and excluded from the numerator. Incremental AI-attributed value, recognized external Meta Compute revenue, period-average active AI IT MW, physical utilization and matched AI PUE are missing. FY2024 fleet PUE 1.08 is historical context only.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Q1 FY2027</x:v>
      </x:c>
      <x:c r="D9" s="27" t="n">
        <x:v>7400000000</x:v>
      </x:c>
      <x:c r="E9" s="29" t="n">
        <x:v>4</x:v>
      </x:c>
      <x:c r="F9" s="31"/>
      <x:c r="G9" s="33"/>
      <x:c r="H9" s="23"/>
      <x:c r="I9" s="35"/>
      <x:c r="J9" s="35"/>
      <x:c r="K9" s="35"/>
      <x:c r="L9" s="35"/>
      <x:c r="M9" s="19" t="str">
        <x:v>SRC-ORCL-Q1FY27-20260910</x:v>
      </x:c>
      <x:c r="N9" s="19" t="str">
        <x:v>PARTIAL</x:v>
      </x:c>
      <x:c r="O9" s="43" t="str">
        <x:v>IaaS only; AI share and average IT MW missing. 850MW additions excluded; PUE undisclosed.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Q2 2026</x:v>
      </x:c>
      <x:c r="D10" s="27" t="n">
        <x:v>2575000000</x:v>
      </x:c>
      <x:c r="E10" s="29" t="n">
        <x:v>4</x:v>
      </x:c>
      <x:c r="F10" s="31"/>
      <x:c r="G10" s="33" t="n">
        <x:v>1250</x:v>
      </x:c>
      <x:c r="H10" s="23" t="str">
        <x:v>Facility power</x:v>
      </x:c>
      <x:c r="I10" s="35"/>
      <x:c r="J10" s="35"/>
      <x:c r="K10" s="35"/>
      <x:c r="L10" s="35"/>
      <x:c r="M10" s="19" t="str">
        <x:v>SRC-CRWV-Q2FY26-ER</x:v>
      </x:c>
      <x:c r="N10" s="19" t="str">
        <x:v>PARTIAL</x:v>
      </x:c>
      <x:c r="O10" s="43" t="str">
        <x:v>All-cloud revenue and modeled period-average active-power proxy; compute mix power boundary PUE and utilization remain missing so normalized output stays blank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Q2 2026</x:v>
      </x:c>
      <x:c r="D11" s="27" t="n">
        <x:v>574900000</x:v>
      </x:c>
      <x:c r="E11" s="29" t="n">
        <x:v>4</x:v>
      </x:c>
      <x:c r="F11" s="31"/>
      <x:c r="G11" s="33"/>
      <x:c r="H11" s="23"/>
      <x:c r="I11" s="35"/>
      <x:c r="J11" s="35"/>
      <x:c r="K11" s="35"/>
      <x:c r="L11" s="35"/>
      <x:c r="M11" s="19" t="str">
        <x:v>SRC-NBIS-Q2FY26-FS</x:v>
      </x:c>
      <x:c r="N11" s="19" t="str">
        <x:v>PARTIAL</x:v>
      </x:c>
      <x:c r="O11" s="43" t="str">
        <x:v>Raw segment includes internal/noncompute; Q2 active IT MW and utilization open. PUE 1.25 is 2025 only.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Q4 FY2026</x:v>
      </x:c>
      <x:c r="D12" s="27" t="n">
        <x:v>70515000</x:v>
      </x:c>
      <x:c r="E12" s="29" t="n">
        <x:v>4</x:v>
      </x:c>
      <x:c r="F12" s="31" t="n">
        <x:v>1</x:v>
      </x:c>
      <x:c r="G12" s="33"/>
      <x:c r="H12" s="23"/>
      <x:c r="I12" s="35"/>
      <x:c r="J12" s="35"/>
      <x:c r="K12" s="35"/>
      <x:c r="L12" s="35"/>
      <x:c r="M12" s="19" t="str">
        <x:v>SRC-IREN-10K-FY26</x:v>
      </x:c>
      <x:c r="N12" s="19" t="str">
        <x:v>PARTIAL</x:v>
      </x:c>
      <x:c r="O12" s="43" t="str">
        <x:v>AI Cloud revenue only derived from FY less nine months; Q4 average active IT MW, utilization and fleet PUE missing. The 40MW June 30 exit capacity is excluded.</x:v>
      </x:c>
      <x:c r="P12" s="37" t="n">
        <x:f>IF(OR(D12="",E12="",F12=""),"",D12*E12*F12)</x:f>
        <x:v>282060000</x:v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H1 2026 / future tranches</x:v>
      </x:c>
      <x:c r="D13" s="27"/>
      <x:c r="E13" s="29"/>
      <x:c r="F13" s="31"/>
      <x:c r="G13" s="33"/>
      <x:c r="H13" s="23" t="str">
        <x:v>Not disclosed</x:v>
      </x:c>
      <x:c r="I13" s="35"/>
      <x:c r="J13" s="35"/>
      <x:c r="K13" s="35"/>
      <x:c r="L13" s="35"/>
      <x:c r="M13" s="19" t="str">
        <x:v>SRC-NSCALE-S1-20260918</x:v>
      </x:c>
      <x:c r="N13" s="19" t="str">
        <x:v>PARTIAL</x:v>
      </x:c>
      <x:c r="O13" s="43" t="str">
        <x:v>Up to $44.6B future payments. Public Anthropic order redacts capacity/rate/term. H1 $136.7M service+lease is a bundled diagnostic; matched AI revenue, average active IT MW, utilization and PUE missing. Old $16.30M rate is reference only.</x:v>
      </x:c>
      <x:c r="P13" s="37" t="str">
        <x:f>IF(OR(D13="",E13="",F13=""),"",D13*E13*F13)</x:f>
      </x:c>
      <x:c r="Q13" s="39" t="str">
        <x:f>IF(G13="","",IF(H13="IT load",G13,IF(H13="Facility power",IF(I13="","",G13/I13),IF(H13="Generation",IF(OR(I13="",J13="",K13=""),"",G13*J13*K13/I13),IF(H13="Effective utilized IT",G13,"")))))</x:f>
      </x:c>
      <x:c r="R13" s="39" t="str">
        <x:f>IF(Q13="","",IF(H13="Effective utilized IT",Q13,IF(L13="","",Q13*L13)))</x:f>
      </x:c>
      <x:c r="S13" s="41" t="str">
        <x:f>IF(OR(P13="",R13="",R13=0),"",P13/R13/1000000)</x:f>
      </x:c>
      <x:c r="T13" s="25" t="str">
        <x:f>IF(S13&lt;&gt;"","Calculated",IF(OR(N13="VENDOR ONLY",N13="CAPEX ONLY"),"Not an operator output","Missing numerator or denominator"))</x:f>
        <x:v>Missing numerator or denominator</x:v>
      </x:c>
    </x:row>
    <x:row r="14">
      <x:c r="A14" s="19" t="str">
        <x:v>xAI / SpaceX</x:v>
      </x:c>
      <x:c r="B14" s="19" t="str">
        <x:v>PROJECT-XAI</x:v>
      </x:c>
      <x:c r="C14" s="19" t="str">
        <x:v>2026</x:v>
      </x:c>
      <x:c r="D14" s="27"/>
      <x:c r="E14" s="29"/>
      <x:c r="F14" s="31"/>
      <x:c r="G14" s="33" t="n">
        <x:v>1400</x:v>
      </x:c>
      <x:c r="H14" s="23" t="str">
        <x:v>IT load</x:v>
      </x:c>
      <x:c r="I14" s="35" t="n">
        <x:v>1</x:v>
      </x:c>
      <x:c r="J14" s="35" t="n">
        <x:v>1</x:v>
      </x:c>
      <x:c r="K14" s="35" t="n">
        <x:v>1</x:v>
      </x:c>
      <x:c r="L14" s="35"/>
      <x:c r="M14" s="19" t="str">
        <x:v>SRC-WB-P2S-001</x:v>
      </x:c>
      <x:c r="N14" s="19" t="str">
        <x:v>GUIDANCE ONLY</x:v>
      </x:c>
      <x:c r="O14" s="43" t="str">
        <x:v>Capex power anchor only; Sep 10 guidance is $30-50B per stated GW-year; effective denominator unresolved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1400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2026</x:v>
      </x:c>
      <x:c r="D15" s="27"/>
      <x:c r="E15" s="29"/>
      <x:c r="F15" s="31"/>
      <x:c r="G15" s="33" t="n">
        <x:v>1000</x:v>
      </x:c>
      <x:c r="H15" s="23" t="str">
        <x:v>IT load</x:v>
      </x:c>
      <x:c r="I15" s="35" t="n">
        <x:v>1</x:v>
      </x:c>
      <x:c r="J15" s="35" t="n">
        <x:v>1</x:v>
      </x:c>
      <x:c r="K15" s="35" t="n">
        <x:v>1</x:v>
      </x:c>
      <x:c r="L15" s="35"/>
      <x:c r="M15" s="19" t="str">
        <x:v>SRC-WB-P2S-001</x:v>
      </x:c>
      <x:c r="N15" s="19" t="str">
        <x:v>CAPEX ONLY</x:v>
      </x:c>
      <x:c r="O15" s="43" t="str">
        <x:v>Revenue numerator not disclosed; power used for capex benchmark only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1000</x:v>
      </x:c>
      <x:c r="R15" s="39" t="str">
        <x:f>IF(Q15="","",IF(H15="Effective utilized IT",Q15,IF(L15="","",Q15*L15)))</x:f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Not an operator output</x:v>
      </x:c>
    </x:row>
    <x:row r="16">
      <x:c r="A16" s="19" t="str">
        <x:v>NVIDIA</x:v>
      </x:c>
      <x:c r="B16" s="19" t="str">
        <x:v>VENDOR-NVDA</x:v>
      </x:c>
      <x:c r="C16" s="19" t="str">
        <x:v>Generation anchors</x:v>
      </x:c>
      <x:c r="D16" s="27"/>
      <x:c r="E16" s="29"/>
      <x:c r="F16" s="31"/>
      <x:c r="G16" s="33" t="n">
        <x:v>1000</x:v>
      </x:c>
      <x:c r="H16" s="23" t="str">
        <x:v>IT load</x:v>
      </x:c>
      <x:c r="I16" s="35" t="n">
        <x:v>1</x:v>
      </x:c>
      <x:c r="J16" s="35" t="n">
        <x:v>1</x:v>
      </x:c>
      <x:c r="K16" s="35" t="n">
        <x:v>1</x:v>
      </x:c>
      <x:c r="L16" s="35"/>
      <x:c r="M16" s="19" t="str">
        <x:v>SRC-NVDA-Q2FY27-001</x:v>
      </x:c>
      <x:c r="N16" s="19" t="str">
        <x:v>VENDOR ONLY</x:v>
      </x:c>
      <x:c r="O16" s="43" t="str">
        <x:v>Use silicon content per GW; not operator revenue per MW</x:v>
      </x:c>
      <x:c r="P16" s="37" t="str">
        <x:f>IF(OR(D16="",E16="",F16=""),"",D16*E16*F16)</x:f>
      </x:c>
      <x:c r="Q16" s="39" t="n">
        <x:f>IF(G16="","",IF(H16="IT load",G16,IF(H16="Facility power",IF(I16="","",G16/I16),IF(H16="Generation",IF(OR(I16="",J16="",K16=""),"",G16*J16*K16/I16),IF(H16="Effective utilized IT",G16,"")))))</x:f>
        <x:v>1000</x:v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19" t="str">
        <x:v>Broadcom</x:v>
      </x:c>
      <x:c r="B17" s="19" t="str">
        <x:v>VENDOR-AVGO</x:v>
      </x:c>
      <x:c r="C17" s="19" t="str">
        <x:v>Open</x:v>
      </x:c>
      <x:c r="D17" s="27"/>
      <x:c r="E17" s="29"/>
      <x:c r="F17" s="31"/>
      <x:c r="G17" s="33" t="n">
        <x:v>1000</x:v>
      </x:c>
      <x:c r="H17" s="23" t="str">
        <x:v>IT load</x:v>
      </x:c>
      <x:c r="I17" s="35" t="n">
        <x:v>1</x:v>
      </x:c>
      <x:c r="J17" s="35" t="n">
        <x:v>1</x:v>
      </x:c>
      <x:c r="K17" s="35" t="n">
        <x:v>1</x:v>
      </x:c>
      <x:c r="L17" s="35"/>
      <x:c r="M17" s="19" t="str">
        <x:v>SRC-WB-P2S-001</x:v>
      </x:c>
      <x:c r="N17" s="19" t="str">
        <x:v>VENDOR ONLY</x:v>
      </x:c>
      <x:c r="O17" s="43" t="str">
        <x:v>Custom silicon only; architecture mix required</x:v>
      </x:c>
      <x:c r="P17" s="37" t="str">
        <x:f>IF(OR(D17="",E17="",F17=""),"",D17*E17*F17)</x:f>
      </x:c>
      <x:c r="Q17" s="39" t="n">
        <x:f>IF(G17="","",IF(H17="IT load",G17,IF(H17="Facility power",IF(I17="","",G17/I17),IF(H17="Generation",IF(OR(I17="",J17="",K17=""),"",G17*J17*K17/I17),IF(H17="Effective utilized IT",G17,"")))))</x:f>
        <x:v>1000</x:v>
      </x:c>
      <x:c r="R17" s="39" t="str">
        <x:f>IF(Q17="","",IF(H17="Effective utilized IT",Q17,IF(L17="","",Q17*L17)))</x:f>
      </x:c>
      <x:c r="S17" s="41" t="str">
        <x:f>IF(OR(P17="",R17="",R17=0),"",P17/R17/1000000)</x:f>
      </x:c>
      <x:c r="T17" s="25" t="str">
        <x:f>IF(S17&lt;&gt;"","Calculated",IF(OR(N17="VENDOR ONLY",N17="CAPEX ONLY"),"Not an operator output","Missing numerator or denominator"))</x:f>
        <x:v>Not an operator output</x:v>
      </x:c>
    </x:row>
    <x:row r="18">
      <x:c r="A18" s="19" t="str">
        <x:v>Bloom Energy</x:v>
      </x:c>
      <x:c r="B18" s="19" t="str">
        <x:v>SUPPLIER-BLOOM</x:v>
      </x:c>
      <x:c r="C18" s="19" t="str">
        <x:v>Not reviewed</x:v>
      </x:c>
      <x:c r="D18" s="27"/>
      <x:c r="E18" s="29"/>
      <x:c r="F18" s="31"/>
      <x:c r="G18" s="33"/>
      <x:c r="H18" s="23"/>
      <x:c r="I18" s="35"/>
      <x:c r="J18" s="35"/>
      <x:c r="K18" s="35"/>
      <x:c r="L18" s="35"/>
      <x:c r="M18" s="19" t="str">
        <x:v>SRC-NBIS-BLOOM-CONTRACT</x:v>
      </x:c>
      <x:c r="N18" s="19" t="str">
        <x:v>VENDOR ONLY</x:v>
      </x:c>
      <x:c r="O18" s="43" t="str">
        <x:v>Power supplier; PUE not applicable; queued via Nebius agreement.</x:v>
      </x:c>
      <x:c r="P18" s="37" t="str">
        <x:f>IF(OR(D18="",E18="",F18=""),"",D18*E18*F18)</x:f>
      </x:c>
      <x:c r="Q18" s="39" t="str">
        <x:f>IF(G18="","",IF(H18="IT load",G18,IF(H18="Facility power",IF(I18="","",G18/I18),IF(H18="Generation",IF(OR(I18="",J18="",K18=""),"",G18*J18*K18/I18),IF(H18="Effective utilized IT",G18,"")))))</x:f>
      </x:c>
      <x:c r="R18" s="39" t="str">
        <x:f>IF(Q18="","",IF(H18="Effective utilized IT",Q18,IF(L18="","",Q18*L18)))</x:f>
      </x:c>
      <x:c r="S18" s="41" t="str">
        <x:f>IF(OR(P18="",R18="",R18=0),"",P18/R18/1000000)</x:f>
      </x:c>
      <x:c r="T18" s="25" t="str">
        <x:f>IF(S18&lt;&gt;"","Calculated",IF(OR(N18="VENDOR ONLY",N18="CAPEX ONLY"),"Not an operator output","Missing numerator or denominator"))</x:f>
        <x:v>Not an operator output</x:v>
      </x:c>
    </x:row>
    <x:row r="19">
      <x:c r="A19" s="20" t="str">
        <x:v>Palantir</x:v>
      </x:c>
      <x:c r="B19" s="20" t="str">
        <x:v>SOFTWARE-PLTR</x:v>
      </x:c>
      <x:c r="C19" s="20" t="str">
        <x:v>Not reviewed</x:v>
      </x:c>
      <x:c r="D19" s="28"/>
      <x:c r="E19" s="30"/>
      <x:c r="F19" s="32"/>
      <x:c r="G19" s="34"/>
      <x:c r="H19" s="24"/>
      <x:c r="I19" s="36"/>
      <x:c r="J19" s="36"/>
      <x:c r="K19" s="36"/>
      <x:c r="L19" s="36"/>
      <x:c r="M19" s="20" t="str">
        <x:v>SRC-NBIS-PALANTIR-20260908</x:v>
      </x:c>
      <x:c r="N19" s="20" t="str">
        <x:v>VENDOR ONLY</x:v>
      </x:c>
      <x:c r="O19" s="44" t="str">
        <x:v>Software attribution; own PUE not applicable; queued via Nebius partnership.</x:v>
      </x:c>
      <x:c r="P19" s="38" t="str">
        <x:f>IF(OR(D19="",E19="",F19=""),"",D19*E19*F19)</x:f>
      </x:c>
      <x:c r="Q19" s="40" t="str">
        <x:f>IF(G19="","",IF(H19="IT load",G19,IF(H19="Facility power",IF(I19="","",G19/I19),IF(H19="Generation",IF(OR(I19="",J19="",K19=""),"",G19*J19*K19/I19),IF(H19="Effective utilized IT",G19,"")))))</x:f>
      </x:c>
      <x:c r="R19" s="40" t="str">
        <x:f>IF(Q19="","",IF(H19="Effective utilized IT",Q19,IF(L19="","",Q19*L19)))</x:f>
      </x:c>
      <x:c r="S19" s="42" t="str">
        <x:f>IF(OR(P19="",R19="",R19=0),"",P19/R19/1000000)</x:f>
      </x:c>
      <x:c r="T19" s="26" t="str">
        <x:f>IF(S19&lt;&gt;"","Calculated",IF(OR(N19="VENDOR ONLY",N19="CAPEX ONLY"),"Not an operator output","Missing numerator or denominator"))</x:f>
        <x:v>Not an operator output</x:v>
      </x:c>
    </x:row>
  </x:sheetData>
  <x:conditionalFormatting sqref="T5:T19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restated Azure revenue attributable to external AI compute</x:v>
      </x:c>
      <x:c r="E5" s="43" t="str">
        <x:v>Time-weighted average active Azure AI IT MW times physical utilization</x:v>
      </x:c>
      <x:c r="F5" s="43" t="str">
        <x:v>Use September 2026 restated Azure perimeter; remove virtual desktop and non-AI consumption; include owned, leased, colocated and purchased capacity; never use quarterly added MW or PPA generation</x:v>
      </x:c>
      <x:c r="G5" s="43" t="str">
        <x:v>Partial 2026-09-17; exact Azure revenue established; AI attribution and effective-MW denominator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recognized external AWS AI compute revenue</x:v>
      </x:c>
      <x:c r="E6" s="43" t="str">
        <x:v>Time-weighted active AI IT MW times physical utilization</x:v>
      </x:c>
      <x:c r="F6" s="43" t="str">
        <x:v>Separate Trainium Inferentia and NVIDIA; exclude internal/noncompute revenue and run-rate overlap; PUE only for matched facility-power conversion</x:v>
      </x:c>
      <x:c r="G6" s="43" t="str">
        <x:v>Partial 2026-09-19; matched numerator and denominator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recognized external GCP AI compute service revenue</x:v>
      </x:c>
      <x:c r="E7" s="43" t="str">
        <x:v>Time-weighted active external GCP AI IT MW times physical utilization</x:v>
      </x:c>
      <x:c r="F7" s="43" t="str">
        <x:v>Exclude Workspace, security/data/non-AI services, internal Search/YouTube/Gemini, TPU system sales and backlog; separate TPU/GPU/third-party capacity cohorts; PUE only for matched facility-power conversion</x:v>
      </x:c>
      <x:c r="G7" s="43" t="str">
        <x:v>Partial 2026-09-20; exact Cloud revenue and fleet PUE established; AI attribution and effective-MW denominator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Annualized incremental recognized internal AI value plus recognized external Meta Compute revenue</x:v>
      </x:c>
      <x:c r="E8" s="43" t="str">
        <x:v>Time-weighted average active Meta AI IT MW times physical utilization</x:v>
      </x:c>
      <x:c r="F8" s="43" t="str">
        <x:v>Never use total company or advertising revenue; keep internal and external cases separate; use matched PUE only for facility-to-IT conversion</x:v>
      </x:c>
      <x:c r="G8" s="43" t="str">
        <x:v>Partial 2026-10-04; AI attribution active IT MW utilization and matched PUE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Recognized AI compute within OCI less hardware pass-through</x:v>
      </x:c>
      <x:c r="E9" s="43" t="str">
        <x:v>Time-weighted active AI IT MW and matching utilization</x:v>
      </x:c>
      <x:c r="F9" s="43" t="str">
        <x:v>Exclude RPO and prepayment cash; no use of capacity additions as denominator</x:v>
      </x:c>
      <x:c r="G9" s="43" t="str">
        <x:v>Partial 2026-09-11; PUE not disclosed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compute-only revenue</x:v>
      </x:c>
      <x:c r="E10" s="43" t="str">
        <x:v>Weighted-average active IT MW times utilization</x:v>
      </x:c>
      <x:c r="F10" s="43" t="str">
        <x:v>Remove storage networking and software; reconstruct average capacity; resolve active-power boundary and PUE</x:v>
      </x:c>
      <x:c r="G10" s="43" t="str">
        <x:v>Partial 2026-09-12; canonical output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external compute-only revenue</x:v>
      </x:c>
      <x:c r="E11" s="43" t="str">
        <x:v>Time-weighted effective IT MW</x:v>
      </x:c>
      <x:c r="F11" s="43" t="str">
        <x:v>Exclude internal/noncompute; no exit MW; historical PUE not current</x:v>
      </x:c>
      <x:c r="G11" s="43" t="str">
        <x:v>Partial; numerator and denominator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AI cloud and services revenue only</x:v>
      </x:c>
      <x:c r="E12" s="43" t="str">
        <x:v>Average active AI IT MW times physical utilization</x:v>
      </x:c>
      <x:c r="F12" s="43" t="str">
        <x:v>Exclude Bitcoin mining revenue and mining power</x:v>
      </x:c>
      <x:c r="G12" s="43" t="str">
        <x:v>Q4 FY2026 numerator established; average active IT MW utilization and matched PUE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Recognized attributable compute revenue</x:v>
      </x:c>
      <x:c r="E13" s="43" t="str">
        <x:v>Period-average effective utilized IT MW</x:v>
      </x:c>
      <x:c r="F13" s="43" t="str">
        <x:v>Keep future contract rate separate; acceptance and financing gates</x:v>
      </x:c>
      <x:c r="G13" s="43" t="str">
        <x:v>Partial; public terms redacted</x:v>
      </x:c>
    </x:row>
    <x:row r="14">
      <x:c r="A14" s="19" t="str">
        <x:v>PROJECT-XAI</x:v>
      </x:c>
      <x:c r="B14" s="19" t="str">
        <x:v>xAI / SpaceX</x:v>
      </x:c>
      <x:c r="C14" s="43" t="str">
        <x:v>Reference operator</x:v>
      </x:c>
      <x:c r="D14" s="43" t="str">
        <x:v>Recognized external compute revenue when reconciled</x:v>
      </x:c>
      <x:c r="E14" s="43" t="str">
        <x:v>Average effective Colossus IT MW</x:v>
      </x:c>
      <x:c r="F14" s="43" t="str">
        <x:v>Retain capex benchmark; separate Sep 10 monetization guidance until power scope reconciled</x:v>
      </x:c>
      <x:c r="G14" s="43" t="str">
        <x:v>Capex anchor plus management guidance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Recognized or contracted compute revenue</x:v>
      </x:c>
      <x:c r="E15" s="43" t="str">
        <x:v>Contracted or active IT-load MW</x:v>
      </x:c>
      <x:c r="F15" s="43" t="str">
        <x:v>Separate financing and total campus spend from revenue</x:v>
      </x:c>
      <x:c r="G15" s="43" t="str">
        <x:v>Capex anchor only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Deployed IT-load GW</x:v>
      </x:c>
      <x:c r="F16" s="43" t="str">
        <x:v>Generation-specific content ladder is not operator revenue</x:v>
      </x:c>
      <x:c r="G16" s="43" t="str">
        <x:v>Vendor anchor</x:v>
      </x:c>
    </x:row>
    <x:row r="17">
      <x:c r="A17" s="19" t="str">
        <x:v>VENDOR-AVGO</x:v>
      </x:c>
      <x:c r="B17" s="19" t="str">
        <x:v>Broadcom</x:v>
      </x:c>
      <x:c r="C17" s="43" t="str">
        <x:v>Silicon vendor</x:v>
      </x:c>
      <x:c r="D17" s="43" t="str">
        <x:v>Custom accelerator and networking revenue attributable to capacity</x:v>
      </x:c>
      <x:c r="E17" s="43" t="str">
        <x:v>Deployed IT-load GW</x:v>
      </x:c>
      <x:c r="F17" s="43" t="str">
        <x:v>Preserve custom-only perimeter and architecture mix</x:v>
      </x:c>
      <x:c r="G17" s="43" t="str">
        <x:v>Configured; inputs partial</x:v>
      </x:c>
    </x:row>
    <x:row r="18">
      <x:c r="A18" s="19" t="str">
        <x:v>SUPPLIER-BLOOM</x:v>
      </x:c>
      <x:c r="B18" s="19" t="str">
        <x:v>Bloom Energy</x:v>
      </x:c>
      <x:c r="C18" s="43" t="str">
        <x:v>Power supplier</x:v>
      </x:c>
      <x:c r="D18" s="43" t="str">
        <x:v>Attributable capacity service fees</x:v>
      </x:c>
      <x:c r="E18" s="43" t="str">
        <x:v>Guaranteed generation MW service-years</x:v>
      </x:c>
      <x:c r="F18" s="43" t="str">
        <x:v>Fuel and generation scope; not operator revenue; PUE not applicable</x:v>
      </x:c>
      <x:c r="G18" s="43" t="str">
        <x:v>Queued; not reviewed</x:v>
      </x:c>
    </x:row>
    <x:row r="19">
      <x:c r="A19" s="20" t="str">
        <x:v>SOFTWARE-PLTR</x:v>
      </x:c>
      <x:c r="B19" s="20" t="str">
        <x:v>Palantir</x:v>
      </x:c>
      <x:c r="C19" s="44" t="str">
        <x:v>Software</x:v>
      </x:c>
      <x:c r="D19" s="44" t="str">
        <x:v>Attributed incremental AI software revenue</x:v>
      </x:c>
      <x:c r="E19" s="44" t="str">
        <x:v>Matching associated average IT MW</x:v>
      </x:c>
      <x:c r="F19" s="44" t="str">
        <x:v>No total-company revenue; separate third-party compute</x:v>
      </x:c>
      <x:c r="G19" s="44" t="str">
        <x:v>Queued; not reviewed</x:v>
      </x:c>
    </x:row>
  </x:sheetData>
  <x:pageMargins left="0.7" right="0.7" top="0.75" bottom="0.75" header="0.3" footer="0.3"/>
  <x:tableParts count="1">
    <x:tablePart xmlns:r="http://schemas.openxmlformats.org/officeDocument/2006/relationships" r:id="R801260d1ca5f402d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d">
        <x:v>2026-07-31T00:00:00.000Z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d">
        <x:v>2026-07-31T00:00:00.000Z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d">
        <x:v>2026-07-31T00:00:00.000Z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d">
        <x:v>2026-07-31T00:00:00.000Z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d">
        <x:v>2026-09-02T00:00:00.000Z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d">
        <x:v>2026-09-02T00:00:00.000Z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d">
        <x:v>2026-09-02T00:00:00.000Z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d">
        <x:v>2026-09-02T00:00:00.000Z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d">
        <x:v>2026-09-05T00:00:00.000Z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d">
        <x:v>2026-09-06T00:00:00.000Z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d">
        <x:v>2026-09-06T00:00:00.000Z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d">
        <x:v>2026-09-06T00:00:00.000Z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d">
        <x:v>2026-09-06T00:00:00.000Z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d">
        <x:v>2026-09-06T00:00:00.000Z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d">
        <x:v>2026-09-06T00:00:00.000Z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5" t="d">
        <x:v>2026-09-06T00:00:00.000Z</x:v>
      </x:c>
      <x:c r="B20" s="19" t="str">
        <x:v>Vercel</x:v>
      </x:c>
      <x:c r="C20" s="19" t="str">
        <x:v>OpenAI spend share</x:v>
      </x:c>
      <x:c r="D20" s="47" t="n">
        <x:v>0.215</x:v>
      </x:c>
      <x:c r="E20" s="19" t="str">
        <x:v>percent</x:v>
      </x:c>
      <x:c r="F20" s="19" t="str">
        <x:v>endpoint</x:v>
      </x:c>
      <x:c r="G20" s="19" t="str">
        <x:v>SRC-TOKEN-WE-SEP06-001</x:v>
      </x:c>
      <x:c r="H20" s="19" t="str">
        <x:v>Reported</x:v>
      </x:c>
      <x:c r="I20" s="43" t="str">
        <x:v>Lab-level share</x:v>
      </x:c>
    </x:row>
    <x:row r="21">
      <x:c r="A21" s="45" t="d">
        <x:v>2026-09-09T00:00:00.000Z</x:v>
      </x:c>
      <x:c r="B21" s="19" t="str">
        <x:v>Ramp AI Index</x:v>
      </x:c>
      <x:c r="C21" s="19" t="str">
        <x:v>Effective price per million tokens</x:v>
      </x:c>
      <x:c r="D21" s="47" t="n">
        <x:v>0.68</x:v>
      </x:c>
      <x:c r="E21" s="19" t="str">
        <x:v>USD per million tokens</x:v>
      </x:c>
      <x:c r="F21" s="19" t="str">
        <x:v>publication_week</x:v>
      </x:c>
      <x:c r="G21" s="19" t="str">
        <x:v>SRC-RAMP-AIINDEX-SEP2026</x:v>
      </x:c>
      <x:c r="H21" s="19" t="str">
        <x:v>Reported</x:v>
      </x:c>
      <x:c r="I21" s="43" t="str">
        <x:v>Down 41 percent from 2026 peak of 1.15 in March</x:v>
      </x:c>
    </x:row>
    <x:row r="22">
      <x:c r="A22" s="45" t="d">
        <x:v>2026-09-20T00:00:00.000Z</x:v>
      </x:c>
      <x:c r="B22" s="19" t="str">
        <x:v>Ramp AI Index</x:v>
      </x:c>
      <x:c r="C22" s="19" t="str">
        <x:v>Total model-attributed spend</x:v>
      </x:c>
      <x:c r="D22" s="47" t="n">
        <x:v>27900000</x:v>
      </x:c>
      <x:c r="E22" s="19" t="str">
        <x:v>USD</x:v>
      </x:c>
      <x:c r="F22" s="19" t="str">
        <x:v>7D</x:v>
      </x:c>
      <x:c r="G22" s="19" t="str">
        <x:v>SRC-RAMP-AIINDEX-WE20260920</x:v>
      </x:c>
      <x:c r="H22" s="19" t="str">
        <x:v>Reported</x:v>
      </x:c>
      <x:c r="I22" s="43" t="str">
        <x:v>All models in connected business sample</x:v>
      </x:c>
    </x:row>
    <x:row r="23">
      <x:c r="A23" s="45" t="d">
        <x:v>2026-09-20T00:00:00.000Z</x:v>
      </x:c>
      <x:c r="B23" s="19" t="str">
        <x:v>Ramp AI Index</x:v>
      </x:c>
      <x:c r="C23" s="19" t="str">
        <x:v>OpenAI provider spend</x:v>
      </x:c>
      <x:c r="D23" s="47" t="n">
        <x:v>13700000</x:v>
      </x:c>
      <x:c r="E23" s="19" t="str">
        <x:v>USD</x:v>
      </x:c>
      <x:c r="F23" s="19" t="str">
        <x:v>7D</x:v>
      </x:c>
      <x:c r="G23" s="19" t="str">
        <x:v>SRC-RAMP-AIINDEX-WE20260920</x:v>
      </x:c>
      <x:c r="H23" s="19" t="str">
        <x:v>Reported</x:v>
      </x:c>
      <x:c r="I23" s="43" t="str">
        <x:v>Provider total from weekly volume chart</x:v>
      </x:c>
    </x:row>
    <x:row r="24">
      <x:c r="A24" s="45" t="d">
        <x:v>2026-09-20T00:00:00.000Z</x:v>
      </x:c>
      <x:c r="B24" s="19" t="str">
        <x:v>Ramp AI Index</x:v>
      </x:c>
      <x:c r="C24" s="19" t="str">
        <x:v>Anthropic provider spend</x:v>
      </x:c>
      <x:c r="D24" s="47" t="n">
        <x:v>13100000</x:v>
      </x:c>
      <x:c r="E24" s="19" t="str">
        <x:v>USD</x:v>
      </x:c>
      <x:c r="F24" s="19" t="str">
        <x:v>7D</x:v>
      </x:c>
      <x:c r="G24" s="19" t="str">
        <x:v>SRC-RAMP-AIINDEX-WE20260920</x:v>
      </x:c>
      <x:c r="H24" s="19" t="str">
        <x:v>Reported</x:v>
      </x:c>
      <x:c r="I24" s="43" t="str">
        <x:v>Provider total from weekly volume chart</x:v>
      </x:c>
    </x:row>
    <x:row r="25">
      <x:c r="A25" s="45" t="d">
        <x:v>2026-09-20T00:00:00.000Z</x:v>
      </x:c>
      <x:c r="B25" s="19" t="str">
        <x:v>Ramp AI Index</x:v>
      </x:c>
      <x:c r="C25" s="19" t="str">
        <x:v>xAI provider spend</x:v>
      </x:c>
      <x:c r="D25" s="47" t="n">
        <x:v>633900</x:v>
      </x:c>
      <x:c r="E25" s="19" t="str">
        <x:v>USD</x:v>
      </x:c>
      <x:c r="F25" s="19" t="str">
        <x:v>7D</x:v>
      </x:c>
      <x:c r="G25" s="19" t="str">
        <x:v>SRC-RAMP-AIINDEX-WE20260920</x:v>
      </x:c>
      <x:c r="H25" s="19" t="str">
        <x:v>Reported</x:v>
      </x:c>
      <x:c r="I25" s="43" t="str">
        <x:v>Provider total from weekly volume chart</x:v>
      </x:c>
    </x:row>
    <x:row r="26">
      <x:c r="A26" s="45" t="d">
        <x:v>2026-09-20T00:00:00.000Z</x:v>
      </x:c>
      <x:c r="B26" s="19" t="str">
        <x:v>Ramp AI Index</x:v>
      </x:c>
      <x:c r="C26" s="19" t="str">
        <x:v>Google provider spend</x:v>
      </x:c>
      <x:c r="D26" s="47" t="n">
        <x:v>429500</x:v>
      </x:c>
      <x:c r="E26" s="19" t="str">
        <x:v>USD</x:v>
      </x:c>
      <x:c r="F26" s="19" t="str">
        <x:v>7D</x:v>
      </x:c>
      <x:c r="G26" s="19" t="str">
        <x:v>SRC-RAMP-AIINDEX-WE20260920</x:v>
      </x:c>
      <x:c r="H26" s="19" t="str">
        <x:v>Reported</x:v>
      </x:c>
      <x:c r="I26" s="43" t="str">
        <x:v>Provider total from weekly volume chart</x:v>
      </x:c>
    </x:row>
    <x:row r="27">
      <x:c r="A27" s="45" t="d">
        <x:v>2026-09-20T00:00:00.000Z</x:v>
      </x:c>
      <x:c r="B27" s="19" t="str">
        <x:v>Ramp AI Index</x:v>
      </x:c>
      <x:c r="C27" s="19" t="str">
        <x:v>GPT-6 Astra spend</x:v>
      </x:c>
      <x:c r="D27" s="47" t="n">
        <x:v>5300000</x:v>
      </x:c>
      <x:c r="E27" s="19" t="str">
        <x:v>USD</x:v>
      </x:c>
      <x:c r="F27" s="19" t="str">
        <x:v>7D</x:v>
      </x:c>
      <x:c r="G27" s="19" t="str">
        <x:v>SRC-RAMP-AIINDEX-WE20260920</x:v>
      </x:c>
      <x:c r="H27" s="19" t="str">
        <x:v>Reported</x:v>
      </x:c>
      <x:c r="I27" s="43" t="str">
        <x:v>Model rank 1</x:v>
      </x:c>
    </x:row>
    <x:row r="28">
      <x:c r="A28" s="45" t="d">
        <x:v>2026-09-20T00:00:00.000Z</x:v>
      </x:c>
      <x:c r="B28" s="19" t="str">
        <x:v>Ramp AI Index</x:v>
      </x:c>
      <x:c r="C28" s="19" t="str">
        <x:v>Claude Opus 5 spend</x:v>
      </x:c>
      <x:c r="D28" s="47" t="n">
        <x:v>4800000</x:v>
      </x:c>
      <x:c r="E28" s="19" t="str">
        <x:v>USD</x:v>
      </x:c>
      <x:c r="F28" s="19" t="str">
        <x:v>7D</x:v>
      </x:c>
      <x:c r="G28" s="19" t="str">
        <x:v>SRC-RAMP-AIINDEX-WE20260920</x:v>
      </x:c>
      <x:c r="H28" s="19" t="str">
        <x:v>Reported</x:v>
      </x:c>
      <x:c r="I28" s="43" t="str">
        <x:v>Model rank 2</x:v>
      </x:c>
    </x:row>
    <x:row r="29">
      <x:c r="A29" s="45" t="d">
        <x:v>2026-09-20T00:00:00.000Z</x:v>
      </x:c>
      <x:c r="B29" s="19" t="str">
        <x:v>Ramp AI Index</x:v>
      </x:c>
      <x:c r="C29" s="19" t="str">
        <x:v>GPT-5.6 Sol spend</x:v>
      </x:c>
      <x:c r="D29" s="47" t="n">
        <x:v>3200000</x:v>
      </x:c>
      <x:c r="E29" s="19" t="str">
        <x:v>USD</x:v>
      </x:c>
      <x:c r="F29" s="19" t="str">
        <x:v>7D</x:v>
      </x:c>
      <x:c r="G29" s="19" t="str">
        <x:v>SRC-RAMP-AIINDEX-WE20260920</x:v>
      </x:c>
      <x:c r="H29" s="19" t="str">
        <x:v>Reported</x:v>
      </x:c>
      <x:c r="I29" s="43" t="str">
        <x:v>Model rank 3</x:v>
      </x:c>
    </x:row>
    <x:row r="30">
      <x:c r="A30" s="45" t="d">
        <x:v>2026-09-20T00:00:00.000Z</x:v>
      </x:c>
      <x:c r="B30" s="19" t="str">
        <x:v>Ramp AI Index</x:v>
      </x:c>
      <x:c r="C30" s="19" t="str">
        <x:v>Claude Opus 4.8 spend</x:v>
      </x:c>
      <x:c r="D30" s="47" t="n">
        <x:v>2100000</x:v>
      </x:c>
      <x:c r="E30" s="19" t="str">
        <x:v>USD</x:v>
      </x:c>
      <x:c r="F30" s="19" t="str">
        <x:v>7D</x:v>
      </x:c>
      <x:c r="G30" s="19" t="str">
        <x:v>SRC-RAMP-AIINDEX-WE20260920</x:v>
      </x:c>
      <x:c r="H30" s="19" t="str">
        <x:v>Reported</x:v>
      </x:c>
      <x:c r="I30" s="43" t="str">
        <x:v>Model rank 4</x:v>
      </x:c>
    </x:row>
    <x:row r="31">
      <x:c r="A31" s="45" t="d">
        <x:v>2026-09-20T00:00:00.000Z</x:v>
      </x:c>
      <x:c r="B31" s="19" t="str">
        <x:v>Ramp AI Index</x:v>
      </x:c>
      <x:c r="C31" s="19" t="str">
        <x:v>Claude Fable 5.1 spend</x:v>
      </x:c>
      <x:c r="D31" s="47" t="n">
        <x:v>1800000</x:v>
      </x:c>
      <x:c r="E31" s="19" t="str">
        <x:v>USD</x:v>
      </x:c>
      <x:c r="F31" s="19" t="str">
        <x:v>7D</x:v>
      </x:c>
      <x:c r="G31" s="19" t="str">
        <x:v>SRC-RAMP-AIINDEX-WE20260920</x:v>
      </x:c>
      <x:c r="H31" s="19" t="str">
        <x:v>Reported</x:v>
      </x:c>
      <x:c r="I31" s="43" t="str">
        <x:v>Model rank 5</x:v>
      </x:c>
    </x:row>
    <x:row r="32">
      <x:c r="A32" s="46" t="d">
        <x:v>2026-09-20T00:00:00.000Z</x:v>
      </x:c>
      <x:c r="B32" s="20" t="str">
        <x:v>Ramp AI Index</x:v>
      </x:c>
      <x:c r="C32" s="20" t="str">
        <x:v>Claude Sonnet 5 spend</x:v>
      </x:c>
      <x:c r="D32" s="48" t="n">
        <x:v>1500000</x:v>
      </x:c>
      <x:c r="E32" s="20" t="str">
        <x:v>USD</x:v>
      </x:c>
      <x:c r="F32" s="20" t="str">
        <x:v>7D</x:v>
      </x:c>
      <x:c r="G32" s="20" t="str">
        <x:v>SRC-RAMP-AIINDEX-WE20260920</x:v>
      </x:c>
      <x:c r="H32" s="20" t="str">
        <x:v>Reported</x:v>
      </x:c>
      <x:c r="I32" s="44" t="str">
        <x:v>Model rank 6</x:v>
      </x:c>
    </x:row>
  </x:sheetData>
  <x:pageMargins left="0.7" right="0.7" top="0.75" bottom="0.75" header="0.3" footer="0.3"/>
  <x:tableParts count="1">
    <x:tablePart xmlns:r="http://schemas.openxmlformats.org/officeDocument/2006/relationships" r:id="R6bac0a80a0cf4884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All figures are per IT-load GW. Facility cost remains project-specific.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/>
      <x:c r="D7" s="54"/>
      <x:c r="E7" s="54"/>
      <x:c r="F7" s="54"/>
      <x:c r="G7" s="54"/>
      <x:c r="H7" s="19" t="str">
        <x:v>SRC-NSCALE-S1-20260918</x:v>
      </x:c>
      <x:c r="I7" s="19" t="str">
        <x:v>Open</x:v>
      </x:c>
      <x:c r="J7" s="43" t="str">
        <x:v>Inherited capex/rate estimates retained as reference_only atomic history. Current primary contract capacity/term/rate are redacted; no verified project payback.</x:v>
      </x:c>
      <x:c r="K7" s="56" t="str">
        <x:f>IF(OR(E7="",G7="",G7=0),"",E7/G7)</x:f>
      </x:c>
      <x:c r="L7" s="56" t="str">
        <x:f>IF(OR(E7="",F7="",F7=0),"",E7/F7)</x:f>
      </x:c>
    </x:row>
    <x:row r="8">
      <x:c r="A8" s="19" t="str">
        <x:v>NVIDIA</x:v>
      </x:c>
      <x:c r="B8" s="19" t="str">
        <x:v>Hopper</x:v>
      </x:c>
      <x:c r="C8" s="54" t="n">
        <x:v>18</x:v>
      </x:c>
      <x:c r="D8" s="54"/>
      <x:c r="E8" s="54"/>
      <x:c r="F8" s="54"/>
      <x:c r="G8" s="54"/>
      <x:c r="H8" s="19" t="str">
        <x:v>SRC-NVDA-Q2FY27-001</x:v>
      </x:c>
      <x:c r="I8" s="19" t="str">
        <x:v>Reported</x:v>
      </x:c>
      <x:c r="J8" s="43" t="str">
        <x:v>VENDOR content only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 t="n">
        <x:v>25</x:v>
      </x:c>
      <x:c r="D9" s="54"/>
      <x:c r="E9" s="54"/>
      <x:c r="F9" s="54"/>
      <x:c r="G9" s="54"/>
      <x:c r="H9" s="19" t="str">
        <x:v>SRC-NVDA-Q2FY27-001</x:v>
      </x:c>
      <x:c r="I9" s="19" t="str">
        <x:v>Reported</x:v>
      </x:c>
      <x:c r="J9" s="43" t="str">
        <x:v>VENDOR content only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 t="n">
        <x:v>40</x:v>
      </x:c>
      <x:c r="D10" s="54"/>
      <x:c r="E10" s="54"/>
      <x:c r="F10" s="54"/>
      <x:c r="G10" s="54"/>
      <x:c r="H10" s="19" t="str">
        <x:v>SRC-NVDA-Q2FY27-001</x:v>
      </x:c>
      <x:c r="I10" s="19" t="str">
        <x:v>Reported</x:v>
      </x:c>
      <x:c r="J10" s="43" t="str">
        <x:v>VENDOR content only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Unspecified</x:v>
      </x:c>
      <x:c r="C11" s="54" t="n">
        <x:v>24.7</x:v>
      </x:c>
      <x:c r="D11" s="54"/>
      <x:c r="E11" s="54"/>
      <x:c r="F11" s="54"/>
      <x:c r="G11" s="54"/>
      <x:c r="H11" s="19" t="str">
        <x:v>SRC-WB-P2S-001</x:v>
      </x:c>
      <x:c r="I11" s="19" t="str">
        <x:v>Derived</x:v>
      </x:c>
      <x:c r="J11" s="43" t="str">
        <x:v>Per GW IT load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Unspecified</x:v>
      </x:c>
      <x:c r="C12" s="54" t="n">
        <x:v>35</x:v>
      </x:c>
      <x:c r="D12" s="54"/>
      <x:c r="E12" s="54" t="n">
        <x:v>35</x:v>
      </x:c>
      <x:c r="F12" s="54"/>
      <x:c r="G12" s="54"/>
      <x:c r="H12" s="19" t="str">
        <x:v>SRC-WB-P2S-001</x:v>
      </x:c>
      <x:c r="I12" s="19" t="str">
        <x:v>Derived</x:v>
      </x:c>
      <x:c r="J12" s="43" t="str">
        <x:v>All-in tranche figure; perimeter needs continuing review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silicon</x:v>
      </x:c>
      <x:c r="C13" s="55" t="n">
        <x:v>11.5</x:v>
      </x:c>
      <x:c r="D13" s="55"/>
      <x:c r="E13" s="55"/>
      <x:c r="F13" s="55"/>
      <x:c r="G13" s="55"/>
      <x:c r="H13" s="20" t="str">
        <x:v>SRC-WB-P2S-001</x:v>
      </x:c>
      <x:c r="I13" s="20" t="str">
        <x:v>Derived</x:v>
      </x:c>
      <x:c r="J13" s="44" t="str">
        <x:v>Custom silicon only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d">
        <x:v>2026-09-08T00:00:00.000Z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d">
        <x:v>2026-09-04T00:00:00.000Z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d">
        <x:v>2026-08-26T00:00:00.000Z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d">
        <x:v>2026-08-13T00:00:00.000Z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d">
        <x:v>2026-08-11T00:00:00.000Z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d">
        <x:v>2026-09-02T00:00:00.000Z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d">
        <x:v>2026-09-06T00:00:00.000Z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d">
        <x:v>2026-08-19T00:00:00.000Z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d">
        <x:v>2026-08-26T00:00:00.000Z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</x:v>
      </x:c>
      <x:c r="G13" s="43" t="str">
        <x:v>Hopper Blackwell and Rubin content per GW</x:v>
      </x:c>
      <x:c r="H13" s="43" t="str">
        <x:v>Primary</x:v>
      </x:c>
      <x:c r="I13" s="43" t="str">
        <x:v>Exact transcript URL to pin on refresh</x:v>
      </x:c>
    </x:row>
    <x:row r="14">
      <x:c r="A14" s="19" t="str">
        <x:v>SRC-XAI-GS-RECAP-20260910</x:v>
      </x:c>
      <x:c r="B14" s="45" t="d">
        <x:v>2026-09-10T00:00:00.000Z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d">
        <x:v>2026-09-10T00:00:00.000Z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19" t="str">
        <x:v>SRC-XAI-GS-EVENT-20260910</x:v>
      </x:c>
      <x:c r="B16" s="45" t="d">
        <x:v>2026-09-10T00:00:00.000Z</x:v>
      </x:c>
      <x:c r="C16" s="19" t="str">
        <x:v>SpaceX investor relations</x:v>
      </x:c>
      <x:c r="D16" s="43" t="str">
        <x:v>Goldman Sachs Communacopia event</x:v>
      </x:c>
      <x:c r="E16" s="43" t="str">
        <x:v>Issuer event page</x:v>
      </x:c>
      <x:c r="F16" s="43" t="str">
        <x:v>https://ir.spacex.com/events/event-details/2026/Goldman-Sachs-2026-Communacopia-and-Technology-Conference-2026-u70jsP31xi/default.aspx</x:v>
      </x:c>
      <x:c r="G16" s="43" t="str">
        <x:v>Event date and replay location</x:v>
      </x:c>
      <x:c r="H16" s="43" t="str">
        <x:v>Primary</x:v>
      </x:c>
      <x:c r="I16" s="43" t="str">
        <x:v>September 10 2026 12:25 PM PT; no financial figures on this page</x:v>
      </x:c>
    </x:row>
    <x:row r="17">
      <x:c r="A17" s="19" t="str">
        <x:v>SRC-ORCL-Q1FY27-20260910</x:v>
      </x:c>
      <x:c r="B17" s="45" t="d">
        <x:v>2026-09-10T00:00:00.000Z</x:v>
      </x:c>
      <x:c r="C17" s="19" t="str">
        <x:v>Oracle / SEC</x:v>
      </x:c>
      <x:c r="D17" s="43" t="str">
        <x:v>Q1 FY2027 earnings release and financial tables</x:v>
      </x:c>
      <x:c r="E17" s="43" t="str">
        <x:v>8-K Exhibit 99.1</x:v>
      </x:c>
      <x:c r="F17" s="43" t="str">
        <x:v>https://www.sec.gov/Archives/edgar/data/1341439/000119312526387905/orcl-ex99_1.htm</x:v>
      </x:c>
      <x:c r="G17" s="43" t="str">
        <x:v>Oracle OCI 2026-09-11 review</x:v>
      </x:c>
      <x:c r="H17" s="43" t="str">
        <x:v>primary_read</x:v>
      </x:c>
      <x:c r="I17" s="43" t="str">
        <x:v>Opening highlights; financial tables pp. 4-5: Cash Flows, Free Cash Flow, Net Cash Outlay; notes (2)-(3)</x:v>
      </x:c>
    </x:row>
    <x:row r="18">
      <x:c r="A18" s="19" t="str">
        <x:v>SRC-ORCL-10K-FY26</x:v>
      </x:c>
      <x:c r="B18" s="45" t="d">
        <x:v>2026-06-22T00:00:00.000Z</x:v>
      </x:c>
      <x:c r="C18" s="19" t="str">
        <x:v>Oracle / SEC</x:v>
      </x:c>
      <x:c r="D18" s="43" t="str">
        <x:v>FY2026 Form 10-K</x:v>
      </x:c>
      <x:c r="E18" s="43" t="str">
        <x:v>10-K</x:v>
      </x:c>
      <x:c r="F18" s="43" t="str">
        <x:v>https://www.sec.gov/Archives/edgar/data/1341439/000119312526277521/orcl-20260531.htm</x:v>
      </x:c>
      <x:c r="G18" s="43" t="str">
        <x:v>Oracle OCI 2026-09-11 review</x:v>
      </x:c>
      <x:c r="H18" s="43" t="str">
        <x:v>primary_read</x:v>
      </x:c>
      <x:c r="I18" s="43" t="str">
        <x:v>Note 4 p.81; Note 9 pp.88-90; MD&amp;A p.55; Note 1 p.72</x:v>
      </x:c>
    </x:row>
    <x:row r="19">
      <x:c r="A19" s="19" t="str">
        <x:v>SRC-ORCL-10Q-Q3FY26</x:v>
      </x:c>
      <x:c r="B19" s="45" t="d">
        <x:v>2026-03-11T00:00:00.000Z</x:v>
      </x:c>
      <x:c r="C19" s="19" t="str">
        <x:v>Oracle / SEC</x:v>
      </x:c>
      <x:c r="D19" s="43" t="str">
        <x:v>Q3 FY2026 Form 10-Q</x:v>
      </x:c>
      <x:c r="E19" s="43" t="str">
        <x:v>10-Q</x:v>
      </x:c>
      <x:c r="F19" s="43" t="str">
        <x:v>https://www.sec.gov/Archives/edgar/data/1341439/000119312526101045/orcl-20260228.htm</x:v>
      </x:c>
      <x:c r="G19" s="43" t="str">
        <x:v>Oracle OCI 2026-09-11 review</x:v>
      </x:c>
      <x:c r="H19" s="43" t="str">
        <x:v>primary_read</x:v>
      </x:c>
      <x:c r="I19" s="43" t="str">
        <x:v>Note 6 pp.12-14: Leases, Other Commitments and Certain Contingencies</x:v>
      </x:c>
    </x:row>
    <x:row r="20">
      <x:c r="A20" s="19" t="str">
        <x:v>SRC-ORCL-CEO-20260612</x:v>
      </x:c>
      <x:c r="B20" s="45" t="d">
        <x:v>2026-06-12T00:00:00.000Z</x:v>
      </x:c>
      <x:c r="C20" s="19" t="str">
        <x:v>Oracle</x:v>
      </x:c>
      <x:c r="D20" s="43" t="str">
        <x:v>From the Q4 Earnings Call: Driving Sustainable Growth Through Durable Differentiation</x:v>
      </x:c>
      <x:c r="E20" s="43" t="str">
        <x:v>issuer_prepared_remarks</x:v>
      </x:c>
      <x:c r="F20" s="43" t="str">
        <x:v>https://blogs.oracle.com/ceo/from-the-q4-earnings-call</x:v>
      </x:c>
      <x:c r="G20" s="43" t="str">
        <x:v>Oracle OCI 2026-09-11 review</x:v>
      </x:c>
      <x:c r="H20" s="43" t="str">
        <x:v>primary_read</x:v>
      </x:c>
      <x:c r="I20" s="43" t="str">
        <x:v>Enabling scale while growing profitability; Accelerating delivery; five largest sites</x:v>
      </x:c>
    </x:row>
    <x:row r="21">
      <x:c r="A21" s="19" t="str">
        <x:v>SRC-ORCL-ESG-FY25</x:v>
      </x:c>
      <x:c r="B21" s="45" t="str">
        <x:v>2026-02</x:v>
      </x:c>
      <x:c r="C21" s="19" t="str">
        <x:v>Oracle</x:v>
      </x:c>
      <x:c r="D21" s="43" t="str">
        <x:v>Environmental and Social Impact FY25 Datasheet Version 6</x:v>
      </x:c>
      <x:c r="E21" s="43" t="str">
        <x:v>sustainability_report</x:v>
      </x:c>
      <x:c r="F21" s="43" t="str">
        <x:v>https://www.oracle.com/it/a/ocom/docs/social-impact-datasheet.pdf</x:v>
      </x:c>
      <x:c r="G21" s="43" t="str">
        <x:v>Oracle OCI 2026-09-11 review</x:v>
      </x:c>
      <x:c r="H21" s="43" t="str">
        <x:v>primary_read</x:v>
      </x:c>
      <x:c r="I21" s="43" t="str">
        <x:v>p.3 Energy and Renewables; p.6 footnotes vii-ix</x:v>
      </x:c>
    </x:row>
    <x:row r="22">
      <x:c r="A22" s="19" t="str">
        <x:v>SRC-ORCL-CARBON-20250630</x:v>
      </x:c>
      <x:c r="B22" s="45" t="d">
        <x:v>2025-06-30T00:00:00.000Z</x:v>
      </x:c>
      <x:c r="C22" s="19" t="str">
        <x:v>Oracle</x:v>
      </x:c>
      <x:c r="D22" s="43" t="str">
        <x:v>OCI Carbon Emissions Analysis: power-based calculations</x:v>
      </x:c>
      <x:c r="E22" s="43" t="str">
        <x:v>issuer_methodology</x:v>
      </x:c>
      <x:c r="F22" s="43" t="str">
        <x:v>https://blogs.oracle.com/sustainability/oci-carbon-emissions-power-based-calculations</x:v>
      </x:c>
      <x:c r="G22" s="43" t="str">
        <x:v>Oracle OCI 2026-09-11 review</x:v>
      </x:c>
      <x:c r="H22" s="43" t="str">
        <x:v>primary_read</x:v>
      </x:c>
      <x:c r="I22" s="43" t="str">
        <x:v>What are power-based emissions; reporting experience</x:v>
      </x:c>
    </x:row>
    <x:row r="23">
      <x:c r="A23" s="19" t="str">
        <x:v>SRC-ORCL-CARBON-202302</x:v>
      </x:c>
      <x:c r="B23" s="45" t="str">
        <x:v>2023-02</x:v>
      </x:c>
      <x:c r="C23" s="19" t="str">
        <x:v>Oracle</x:v>
      </x:c>
      <x:c r="D23" s="43" t="str">
        <x:v>Technical Carbon Calculation Guidance v1.0</x:v>
      </x:c>
      <x:c r="E23" s="43" t="str">
        <x:v>technical_brief</x:v>
      </x:c>
      <x:c r="F23" s="43" t="str">
        <x:v>https://www.oracle.com/a/ocom/docs/corporate/technical-carbon-calculation-guidance.pdf</x:v>
      </x:c>
      <x:c r="G23" s="43" t="str">
        <x:v>Oracle OCI 2026-09-11 review</x:v>
      </x:c>
      <x:c r="H23" s="43" t="str">
        <x:v>primary_read</x:v>
      </x:c>
      <x:c r="I23" s="43" t="str">
        <x:v>pp.4-6 carbon boundary and calculation methodology</x:v>
      </x:c>
    </x:row>
    <x:row r="24">
      <x:c r="A24" s="19" t="str">
        <x:v>SRC-ORCL-GREEN-CLOUD-20260911</x:v>
      </x:c>
      <x:c r="B24" s="45" t="d">
        <x:v>2026-09-11T00:00:00.000Z</x:v>
      </x:c>
      <x:c r="C24" s="19" t="str">
        <x:v>Oracle</x:v>
      </x:c>
      <x:c r="D24" s="43" t="str">
        <x:v>Oracle Cloud sustainability</x:v>
      </x:c>
      <x:c r="E24" s="43" t="str">
        <x:v>issuer_webpage</x:v>
      </x:c>
      <x:c r="F24" s="43" t="str">
        <x:v>https://www.oracle.com/sustainability/green-cloud/</x:v>
      </x:c>
      <x:c r="G24" s="43" t="str">
        <x:v>Oracle OCI 2026-09-11 review</x:v>
      </x:c>
      <x:c r="H24" s="43" t="str">
        <x:v>primary_read</x:v>
      </x:c>
      <x:c r="I24" s="43" t="str">
        <x:v>Clean cloud; Measurement; linked datasheets</x:v>
      </x:c>
    </x:row>
    <x:row r="25">
      <x:c r="A25" s="19" t="str">
        <x:v>SRC-OPENAI-ORACLE-20250722</x:v>
      </x:c>
      <x:c r="B25" s="45" t="d">
        <x:v>2025-07-22T00:00:00.000Z</x:v>
      </x:c>
      <x:c r="C25" s="19" t="str">
        <x:v>OpenAI</x:v>
      </x:c>
      <x:c r="D25" s="43" t="str">
        <x:v>Stargate advances with 4.5 GW partnership with Oracle</x:v>
      </x:c>
      <x:c r="E25" s="43" t="str">
        <x:v>counterparty_announcement</x:v>
      </x:c>
      <x:c r="F25" s="43" t="str">
        <x:v>https://openai.com/index/stargate-advances-with-partnership-with-oracle/</x:v>
      </x:c>
      <x:c r="G25" s="43" t="str">
        <x:v>Oracle OCI 2026-09-11 review</x:v>
      </x:c>
      <x:c r="H25" s="43" t="str">
        <x:v>primary_read</x:v>
      </x:c>
      <x:c r="I25" s="43" t="str">
        <x:v>Opening agreement; Abilene initial workloads</x:v>
      </x:c>
    </x:row>
    <x:row r="26">
      <x:c r="A26" s="19" t="str">
        <x:v>SRC-OPENAI-STARGATE-20250923</x:v>
      </x:c>
      <x:c r="B26" s="45" t="d">
        <x:v>2025-09-23T00:00:00.000Z</x:v>
      </x:c>
      <x:c r="C26" s="19" t="str">
        <x:v>OpenAI</x:v>
      </x:c>
      <x:c r="D26" s="43" t="str">
        <x:v>Five new Stargate sites</x:v>
      </x:c>
      <x:c r="E26" s="43" t="str">
        <x:v>counterparty_announcement</x:v>
      </x:c>
      <x:c r="F26" s="43" t="str">
        <x:v>https://openai.com/index/five-new-stargate-sites/</x:v>
      </x:c>
      <x:c r="G26" s="43" t="str">
        <x:v>Oracle OCI 2026-09-11 review</x:v>
      </x:c>
      <x:c r="H26" s="43" t="str">
        <x:v>primary_read</x:v>
      </x:c>
      <x:c r="I26" s="43" t="str">
        <x:v>Oracle partnership paragraphs; Wisconsin update</x:v>
      </x:c>
    </x:row>
    <x:row r="27">
      <x:c r="A27" s="19" t="str">
        <x:v>SRC-CRUSOE-ABILENE-20250521</x:v>
      </x:c>
      <x:c r="B27" s="45" t="d">
        <x:v>2025-05-21T00:00:00.000Z</x:v>
      </x:c>
      <x:c r="C27" s="19" t="str">
        <x:v>Crusoe</x:v>
      </x:c>
      <x:c r="D27" s="43" t="str">
        <x:v>Second phase of USD15 billion Abilene joint venture</x:v>
      </x:c>
      <x:c r="E27" s="43" t="str">
        <x:v>counterparty_project_financing</x:v>
      </x:c>
      <x:c r="F27" s="43" t="str">
        <x:v>https://www.crusoe.ai/resources/newsroom/crusoe-blue-owl-capital-and-primary-digital-infrastructure-enter-joint-venture</x:v>
      </x:c>
      <x:c r="G27" s="43" t="str">
        <x:v>Oracle OCI 2026-09-11 review</x:v>
      </x:c>
      <x:c r="H27" s="43" t="str">
        <x:v>primary_read</x:v>
      </x:c>
      <x:c r="I27" s="43" t="str">
        <x:v>Opening JV terms; phase schedule; cooling design</x:v>
      </x:c>
    </x:row>
    <x:row r="28">
      <x:c r="A28" s="19" t="str">
        <x:v>SRC-ORCL-REVOLVER-20260306</x:v>
      </x:c>
      <x:c r="B28" s="45" t="d">
        <x:v>2026-03-11T00:00:00.000Z</x:v>
      </x:c>
      <x:c r="C28" s="19" t="str">
        <x:v>Oracle / SEC</x:v>
      </x:c>
      <x:c r="D28" s="43" t="str">
        <x:v>USD10 billion revolving credit agreement dated March 6 2026</x:v>
      </x:c>
      <x:c r="E28" s="43" t="str">
        <x:v>10-Q Exhibit 10.17</x:v>
      </x:c>
      <x:c r="F28" s="43" t="str">
        <x:v>https://www.sec.gov/Archives/edgar/data/1341439/000119312526101045/orcl-ex10_17.htm</x:v>
      </x:c>
      <x:c r="G28" s="43" t="str">
        <x:v>Oracle OCI 2026-09-11 review</x:v>
      </x:c>
      <x:c r="H28" s="43" t="str">
        <x:v>primary_read</x:v>
      </x:c>
      <x:c r="I28" s="43" t="str">
        <x:v>Cover; sections 2.01, 2.08, 2.21 and 6.02</x:v>
      </x:c>
    </x:row>
    <x:row r="29">
      <x:c r="A29" s="19" t="str">
        <x:v>SRC-ORCL-Q1FY27-EVENT</x:v>
      </x:c>
      <x:c r="B29" s="45" t="d">
        <x:v>2026-09-10T00:00:00.000Z</x:v>
      </x:c>
      <x:c r="C29" s="19" t="str">
        <x:v>Oracle</x:v>
      </x:c>
      <x:c r="D29" s="43" t="str">
        <x:v>Q1 FY27 earnings event</x:v>
      </x:c>
      <x:c r="E29" s="43" t="str">
        <x:v>issuer_event</x:v>
      </x:c>
      <x:c r="F29" s="43" t="str">
        <x:v>https://investor.oracle.com/events-and-presentations/event-details/2026/Q1-FY27-Earnings/default.aspx</x:v>
      </x:c>
      <x:c r="G29" s="43" t="str">
        <x:v>Oracle OCI 2026-09-11 review</x:v>
      </x:c>
      <x:c r="H29" s="43" t="str">
        <x:v>metadata_read_transcript_unavailable</x:v>
      </x:c>
      <x:c r="I29" s="43" t="str">
        <x:v>Event date and webcast link; linked player returned no readable transcript</x:v>
      </x:c>
    </x:row>
    <x:row r="30">
      <x:c r="A30" s="19" t="str">
        <x:v>SRC-CRWV-10K-FY25</x:v>
      </x:c>
      <x:c r="B30" s="45" t="d">
        <x:v>2026-03-02T00:00:00.000Z</x:v>
      </x:c>
      <x:c r="C30" s="19" t="str">
        <x:v>CoreWeave / SEC</x:v>
      </x:c>
      <x:c r="D30" s="43" t="str">
        <x:v>FY2025 Form 10-K</x:v>
      </x:c>
      <x:c r="E30" s="43" t="str">
        <x:v>10-K</x:v>
      </x:c>
      <x:c r="F30" s="43" t="str">
        <x:v>https://www.sec.gov/Archives/edgar/data/1769628/000176962826000104/crwv-20251231.htm</x:v>
      </x:c>
      <x:c r="G30" s="43" t="str">
        <x:v>CoreWeave 2026-09-12 review</x:v>
      </x:c>
      <x:c r="H30" s="43" t="str">
        <x:v>primary_read</x:v>
      </x:c>
      <x:c r="I30" s="43" t="str">
        <x:v>Item 1 pp.5-11; revenue pp.97-102; leases pp.111-112; debt pp.113-116</x:v>
      </x:c>
    </x:row>
    <x:row r="31">
      <x:c r="A31" s="19" t="str">
        <x:v>SRC-CRWV-10Q-Q2FY26</x:v>
      </x:c>
      <x:c r="B31" s="45" t="d">
        <x:v>2026-08-12T00:00:00.000Z</x:v>
      </x:c>
      <x:c r="C31" s="19" t="str">
        <x:v>CoreWeave / SEC</x:v>
      </x:c>
      <x:c r="D31" s="43" t="str">
        <x:v>Q2 2026 Form 10-Q</x:v>
      </x:c>
      <x:c r="E31" s="43" t="str">
        <x:v>10-Q</x:v>
      </x:c>
      <x:c r="F31" s="43" t="str">
        <x:v>https://www.sec.gov/Archives/edgar/data/1769628/000176962826000366/crwv-20260630.htm</x:v>
      </x:c>
      <x:c r="G31" s="43" t="str">
        <x:v>CoreWeave 2026-09-12 review</x:v>
      </x:c>
      <x:c r="H31" s="43" t="str">
        <x:v>primary_read</x:v>
      </x:c>
      <x:c r="I31" s="43" t="str">
        <x:v>Note 2 pp.14-15; Note 3 pp.15-17; Note 5 p.20; Note 9 pp.23-25; Note 10 pp.26-31; MD&amp;A pp.42-47</x:v>
      </x:c>
    </x:row>
    <x:row r="32">
      <x:c r="A32" s="19" t="str">
        <x:v>SRC-CRWV-Q1FY26-ER</x:v>
      </x:c>
      <x:c r="B32" s="45" t="d">
        <x:v>2026-05-07T00:00:00.000Z</x:v>
      </x:c>
      <x:c r="C32" s="19" t="str">
        <x:v>CoreWeave</x:v>
      </x:c>
      <x:c r="D32" s="43" t="str">
        <x:v>CoreWeave Reports Strong First Quarter 2026 Results</x:v>
      </x:c>
      <x:c r="E32" s="43" t="str">
        <x:v>issuer_earnings_release</x:v>
      </x:c>
      <x:c r="F32" s="43" t="str">
        <x:v>https://investors.coreweave.com/news/news-details/2026/CoreWeave-Reports-Strong-First-Quarter-2026-Results/default.aspx</x:v>
      </x:c>
      <x:c r="G32" s="43" t="str">
        <x:v>CoreWeave opening power and contracts</x:v>
      </x:c>
      <x:c r="H32" s="43" t="str">
        <x:v>primary_read</x:v>
      </x:c>
      <x:c r="I32" s="43" t="str">
        <x:v>Financial and power highlights; DDTL 4.0</x:v>
      </x:c>
    </x:row>
    <x:row r="33">
      <x:c r="A33" s="19" t="str">
        <x:v>SRC-CRWV-Q2FY26-ER</x:v>
      </x:c>
      <x:c r="B33" s="45" t="d">
        <x:v>2026-08-11T00:00:00.000Z</x:v>
      </x:c>
      <x:c r="C33" s="19" t="str">
        <x:v>CoreWeave</x:v>
      </x:c>
      <x:c r="D33" s="43" t="str">
        <x:v>CoreWeave Reports Strong Second Quarter 2026 Results</x:v>
      </x:c>
      <x:c r="E33" s="43" t="str">
        <x:v>issuer_earnings_release</x:v>
      </x:c>
      <x:c r="F33" s="43" t="str">
        <x:v>https://investors.coreweave.com/news/news-details/2026/CoreWeave-Reports-Strong-Second-Quarter-2026-Results/</x:v>
      </x:c>
      <x:c r="G33" s="43" t="str">
        <x:v>CoreWeave Q2 revenue power and backlog</x:v>
      </x:c>
      <x:c r="H33" s="43" t="str">
        <x:v>primary_read</x:v>
      </x:c>
      <x:c r="I33" s="43" t="str">
        <x:v>Financial highlights; backlog footnote; active and contracted power</x:v>
      </x:c>
    </x:row>
    <x:row r="34">
      <x:c r="A34" s="19" t="str">
        <x:v>SRC-CRWV-DDTL55-8K</x:v>
      </x:c>
      <x:c r="B34" s="45" t="d">
        <x:v>2026-08-10T00:00:00.000Z</x:v>
      </x:c>
      <x:c r="C34" s="19" t="str">
        <x:v>CoreWeave / SEC</x:v>
      </x:c>
      <x:c r="D34" s="43" t="str">
        <x:v>DDTL 5.5 Facility Form 8-K</x:v>
      </x:c>
      <x:c r="E34" s="43" t="str">
        <x:v>8-K</x:v>
      </x:c>
      <x:c r="F34" s="43" t="str">
        <x:v>https://www.sec.gov/Archives/edgar/data/1769628/000176962826000357/crwv-20260807.htm</x:v>
      </x:c>
      <x:c r="G34" s="43" t="str">
        <x:v>CoreWeave DDTL 5.5</x:v>
      </x:c>
      <x:c r="H34" s="43" t="str">
        <x:v>primary_read</x:v>
      </x:c>
      <x:c r="I34" s="43" t="str">
        <x:v>Item 1.01 amount use maturity pricing guarantees collateral and DSCR</x:v>
      </x:c>
    </x:row>
    <x:row r="35">
      <x:c r="A35" s="19" t="str">
        <x:v>SRC-CRWV-DDTL55-EX10</x:v>
      </x:c>
      <x:c r="B35" s="45" t="d">
        <x:v>2026-08-07T00:00:00.000Z</x:v>
      </x:c>
      <x:c r="C35" s="19" t="str">
        <x:v>CoreWeave / SEC</x:v>
      </x:c>
      <x:c r="D35" s="43" t="str">
        <x:v>DDTL 5.5 Credit Agreement</x:v>
      </x:c>
      <x:c r="E35" s="43" t="str">
        <x:v>8-K Exhibit 10.1</x:v>
      </x:c>
      <x:c r="F35" s="43" t="str">
        <x:v>https://www.sec.gov/Archives/edgar/data/1769628/000176962826000357/ex101creditagreement.htm</x:v>
      </x:c>
      <x:c r="G35" s="43" t="str">
        <x:v>CoreWeave DDTL 5.5 terms</x:v>
      </x:c>
      <x:c r="H35" s="43" t="str">
        <x:v>primary_read</x:v>
      </x:c>
      <x:c r="I35" s="43" t="str">
        <x:v>Definitions and sections 2.01 2.06 2.08-2.11</x:v>
      </x:c>
    </x:row>
    <x:row r="36">
      <x:c r="A36" s="19" t="str">
        <x:v>SRC-CRWV-DDTL55-GUARANTEE</x:v>
      </x:c>
      <x:c r="B36" s="45" t="d">
        <x:v>2026-08-07T00:00:00.000Z</x:v>
      </x:c>
      <x:c r="C36" s="19" t="str">
        <x:v>CoreWeave / SEC</x:v>
      </x:c>
      <x:c r="D36" s="43" t="str">
        <x:v>DDTL 5.5 Parent Guarantee and Pledge Agreement</x:v>
      </x:c>
      <x:c r="E36" s="43" t="str">
        <x:v>8-K Exhibit 10.2</x:v>
      </x:c>
      <x:c r="F36" s="43" t="str">
        <x:v>https://www.sec.gov/Archives/edgar/data/1769628/000176962826000357/ex102parentguarantee.htm</x:v>
      </x:c>
      <x:c r="G36" s="43" t="str">
        <x:v>CoreWeave DDTL 5.5 guarantee</x:v>
      </x:c>
      <x:c r="H36" s="43" t="str">
        <x:v>primary_read</x:v>
      </x:c>
      <x:c r="I36" s="43" t="str">
        <x:v>Section 2.1 unconditional and irrevocable guarantee</x:v>
      </x:c>
    </x:row>
    <x:row r="37">
      <x:c r="A37" s="19" t="str">
        <x:v>SRC-CRWV-DDTL50-20260518</x:v>
      </x:c>
      <x:c r="B37" s="45" t="d">
        <x:v>2026-05-18T00:00:00.000Z</x:v>
      </x:c>
      <x:c r="C37" s="19" t="str">
        <x:v>CoreWeave</x:v>
      </x:c>
      <x:c r="D37" s="43" t="str">
        <x:v>CoreWeave Closes USD3.1 Billion Loan Facility</x:v>
      </x:c>
      <x:c r="E37" s="43" t="str">
        <x:v>issuer_financing_release</x:v>
      </x:c>
      <x:c r="F37" s="43" t="str">
        <x:v>https://investors.coreweave.com/news/news-details/2026/CoreWeave-Closes-3-1-Billion-Loan-Facility-Expanding-Access-to-Public-Markets-for-GPU-Backed-Financing/</x:v>
      </x:c>
      <x:c r="G37" s="43" t="str">
        <x:v>CoreWeave DDTL 5.0</x:v>
      </x:c>
      <x:c r="H37" s="43" t="str">
        <x:v>primary_read</x:v>
      </x:c>
      <x:c r="I37" s="43" t="str">
        <x:v>Two non-investment-grade customer contracts; SOFR plus 4.50%; approximately 5.5 years</x:v>
      </x:c>
    </x:row>
    <x:row r="38">
      <x:c r="A38" s="19" t="str">
        <x:v>SRC-CRWV-META-20260409</x:v>
      </x:c>
      <x:c r="B38" s="45" t="d">
        <x:v>2026-04-09T00:00:00.000Z</x:v>
      </x:c>
      <x:c r="C38" s="19" t="str">
        <x:v>CoreWeave</x:v>
      </x:c>
      <x:c r="D38" s="43" t="str">
        <x:v>CoreWeave and Meta Announce USD21 Billion Expanded AI Infrastructure Agreement</x:v>
      </x:c>
      <x:c r="E38" s="43" t="str">
        <x:v>issuer_customer_agreement</x:v>
      </x:c>
      <x:c r="F38" s="43" t="str">
        <x:v>https://investors.coreweave.com/news/news-details/2026/CoreWeave-and-Meta-Announce-21-Billion-Expanded-AI-Infrastructure-Agreement/default.aspx</x:v>
      </x:c>
      <x:c r="G38" s="43" t="str">
        <x:v>CoreWeave Meta agreement</x:v>
      </x:c>
      <x:c r="H38" s="43" t="str">
        <x:v>primary_read</x:v>
      </x:c>
      <x:c r="I38" s="43" t="str">
        <x:v>Dedicated multi-location capacity through December 2032; initial Vera Rubin deployments</x:v>
      </x:c>
    </x:row>
    <x:row r="39">
      <x:c r="A39" s="19" t="str">
        <x:v>SRC-NBIS-20F-FY25</x:v>
      </x:c>
      <x:c r="B39" s="45" t="d">
        <x:v>2026-04-30T00:00:00.000Z</x:v>
      </x:c>
      <x:c r="C39" s="19" t="str">
        <x:v>Nebius Group N.V.</x:v>
      </x:c>
      <x:c r="D39" s="43" t="str">
        <x:v>FY2025 Form 20-F</x:v>
      </x:c>
      <x:c r="E39" s="43" t="str">
        <x:v>20-F</x:v>
      </x:c>
      <x:c r="F39" s="43" t="str">
        <x:v>https://www.sec.gov/Archives/edgar/data/1513845/000110465926052948/nbis-20251231x20f.htm</x:v>
      </x:c>
      <x:c r="G39" s="43" t="str">
        <x:v>nebius; revenue_per_mw; contract_economics</x:v>
      </x:c>
      <x:c r="H39" s="43" t="str">
        <x:v>active</x:v>
      </x:c>
      <x:c r="I39" s="43" t="str">
        <x:v>Item 4.B capacity definitions; Item 5.E off-balance-sheet arrangements; Note 2 revenue F-17–F-18; Note 11 commitments; exhibit index</x:v>
      </x:c>
    </x:row>
    <x:row r="40">
      <x:c r="A40" s="19" t="str">
        <x:v>SRC-NBIS-Q2FY26-FS</x:v>
      </x:c>
      <x:c r="B40" s="45" t="d">
        <x:v>2026-08-12T00:00:00.000Z</x:v>
      </x:c>
      <x:c r="C40" s="19" t="str">
        <x:v>Nebius Group N.V.</x:v>
      </x:c>
      <x:c r="D40" s="43" t="str">
        <x:v>Q2/H1 2026 financial statements</x:v>
      </x:c>
      <x:c r="E40" s="43" t="str">
        <x:v>6-K_exhibit</x:v>
      </x:c>
      <x:c r="F40" s="43" t="str">
        <x:v>https://www.sec.gov/Archives/edgar/data/1513845/000110465926094844/nbis-20260812xex99d2.htm</x:v>
      </x:c>
      <x:c r="G40" s="43" t="str">
        <x:v>nebius; revenue_per_mw; contract_economics</x:v>
      </x:c>
      <x:c r="H40" s="43" t="str">
        <x:v>active</x:v>
      </x:c>
      <x:c r="I40" s="43" t="str">
        <x:v>Cash-flow statement; Note 2 F-10; Note 4 F-19; Note 8 F-24–F-25; Note 11 F-26; Notes 14–16 F-31–F-34</x:v>
      </x:c>
    </x:row>
    <x:row r="41">
      <x:c r="A41" s="19" t="str">
        <x:v>SRC-NBIS-Q2FY26-MDNA</x:v>
      </x:c>
      <x:c r="B41" s="45" t="d">
        <x:v>2026-08-12T00:00:00.000Z</x:v>
      </x:c>
      <x:c r="C41" s="19" t="str">
        <x:v>Nebius Group N.V.</x:v>
      </x:c>
      <x:c r="D41" s="43" t="str">
        <x:v>Q2/H1 2026 management discussion</x:v>
      </x:c>
      <x:c r="E41" s="43" t="str">
        <x:v>6-K_exhibit</x:v>
      </x:c>
      <x:c r="F41" s="43" t="str">
        <x:v>https://www.sec.gov/Archives/edgar/data/1513845/000110465926094844/nbis-20260812xex99d1.htm</x:v>
      </x:c>
      <x:c r="G41" s="43" t="str">
        <x:v>nebius; revenue_per_mw; contract_economics</x:v>
      </x:c>
      <x:c r="H41" s="43" t="str">
        <x:v>active</x:v>
      </x:c>
      <x:c r="I41" s="43" t="str">
        <x:v>p.4 revenue table; liquidity and capital resources</x:v>
      </x:c>
    </x:row>
    <x:row r="42">
      <x:c r="A42" s="19" t="str">
        <x:v>SRC-NBIS-Q2FY26-ER</x:v>
      </x:c>
      <x:c r="B42" s="45" t="d">
        <x:v>2026-08-12T00:00:00.000Z</x:v>
      </x:c>
      <x:c r="C42" s="19" t="str">
        <x:v>Nebius Group N.V.</x:v>
      </x:c>
      <x:c r="D42" s="43" t="str">
        <x:v>Q2 2026 earnings release</x:v>
      </x:c>
      <x:c r="E42" s="43" t="str">
        <x:v>earnings_release</x:v>
      </x:c>
      <x:c r="F42" s="43" t="str">
        <x:v>https://assets.nebius.com/assets/72a8c258-bbb7-4df7-ab9d-8698f6cb88fc/PR.pdf</x:v>
      </x:c>
      <x:c r="G42" s="43" t="str">
        <x:v>nebius; revenue_per_mw; contract_economics</x:v>
      </x:c>
      <x:c r="H42" s="43" t="str">
        <x:v>active</x:v>
      </x:c>
      <x:c r="I42" s="43" t="str">
        <x:v>Consolidated results and cash-flow tables, 10-page release</x:v>
      </x:c>
    </x:row>
    <x:row r="43">
      <x:c r="A43" s="19" t="str">
        <x:v>SRC-NBIS-Q2FY26-LETTER</x:v>
      </x:c>
      <x:c r="B43" s="45" t="d">
        <x:v>2026-08-12T00:00:00.000Z</x:v>
      </x:c>
      <x:c r="C43" s="19" t="str">
        <x:v>Nebius Group N.V.</x:v>
      </x:c>
      <x:c r="D43" s="43" t="str">
        <x:v>Q2 2026 shareholder letter</x:v>
      </x:c>
      <x:c r="E43" s="43" t="str">
        <x:v>shareholder_letter</x:v>
      </x:c>
      <x:c r="F43" s="43" t="str">
        <x:v>https://assets.nebius.com/assets/a6ecfd85-a6cb-4967-8ef7-9a25bd261f9c/SHLQ226.pdf</x:v>
      </x:c>
      <x:c r="G43" s="43" t="str">
        <x:v>nebius; revenue_per_mw; contract_economics</x:v>
      </x:c>
      <x:c r="H43" s="43" t="str">
        <x:v>active</x:v>
      </x:c>
      <x:c r="I43" s="43" t="str">
        <x:v>pp.2–4 pricing and deal economics; p.5 capacity; pp.10–11 financing</x:v>
      </x:c>
    </x:row>
    <x:row r="44">
      <x:c r="A44" s="19" t="str">
        <x:v>SRC-NBIS-ESG-FY25</x:v>
      </x:c>
      <x:c r="B44" s="45" t="d">
        <x:v>2026-07-30T00:00:00.000Z</x:v>
      </x:c>
      <x:c r="C44" s="19" t="str">
        <x:v>Nebius Group N.V.</x:v>
      </x:c>
      <x:c r="D44" s="43" t="str">
        <x:v>2025 Sustainability Report</x:v>
      </x:c>
      <x:c r="E44" s="43" t="str">
        <x:v>sustainability_report</x:v>
      </x:c>
      <x:c r="F44" s="43" t="str">
        <x:v>https://assets.nebius.com/assets/79cf11ba-bb23-4cb8-802e-21dc155be31c/Nebius%202025%20Sustainability%20Report.pdf</x:v>
      </x:c>
      <x:c r="G44" s="43" t="str">
        <x:v>nebius; revenue_per_mw; contract_economics</x:v>
      </x:c>
      <x:c r="H44" s="43" t="str">
        <x:v>active</x:v>
      </x:c>
      <x:c r="I44" s="43" t="str">
        <x:v>p.14 PUE panel and footnotes 1–6; publication date confirmed at nebius.com/sustainability</x:v>
      </x:c>
    </x:row>
    <x:row r="45">
      <x:c r="A45" s="19" t="str">
        <x:v>SRC-NBIS-MSFT-SOW</x:v>
      </x:c>
      <x:c r="B45" s="45" t="d">
        <x:v>2026-04-30T00:00:00.000Z</x:v>
      </x:c>
      <x:c r="C45" s="19" t="str">
        <x:v>Nebius Group N.V.</x:v>
      </x:c>
      <x:c r="D45" s="43" t="str">
        <x:v>Microsoft SOW dated September 7 2025, Exhibit 4.4</x:v>
      </x:c>
      <x:c r="E45" s="43" t="str">
        <x:v>contract_exhibit</x:v>
      </x:c>
      <x:c r="F45" s="43" t="str">
        <x:v>https://www.sec.gov/Archives/edgar/data/1513845/000110465926052948/nbis-20251231xex4d4.htm</x:v>
      </x:c>
      <x:c r="G45" s="43" t="str">
        <x:v>nebius; revenue_per_mw; contract_economics</x:v>
      </x:c>
      <x:c r="H45" s="43" t="str">
        <x:v>active</x:v>
      </x:c>
      <x:c r="I45" s="43" t="str">
        <x:v>Sections 2 acceptance and delivery; 3.1 pricing; 3.2 payment; 3.3 termination</x:v>
      </x:c>
    </x:row>
    <x:row r="46">
      <x:c r="A46" s="19" t="str">
        <x:v>SRC-NBIS-MSFT-ADDENDUM</x:v>
      </x:c>
      <x:c r="B46" s="45" t="d">
        <x:v>2026-04-30T00:00:00.000Z</x:v>
      </x:c>
      <x:c r="C46" s="19" t="str">
        <x:v>Nebius Group N.V.</x:v>
      </x:c>
      <x:c r="D46" s="43" t="str">
        <x:v>Microsoft January 21 2026 addendum, Exhibit 4.5</x:v>
      </x:c>
      <x:c r="E46" s="43" t="str">
        <x:v>contract_exhibit</x:v>
      </x:c>
      <x:c r="F46" s="43" t="str">
        <x:v>https://www.sec.gov/Archives/edgar/data/1513845/000110465926052948/nbis-20251231xex4d5.htm</x:v>
      </x:c>
      <x:c r="G46" s="43" t="str">
        <x:v>nebius; revenue_per_mw; contract_economics</x:v>
      </x:c>
      <x:c r="H46" s="43" t="str">
        <x:v>active</x:v>
      </x:c>
      <x:c r="I46" s="43" t="str">
        <x:v>Section 2(d) additional tranches no upfront payment; 2(e) monthly GPU fee formula</x:v>
      </x:c>
    </x:row>
    <x:row r="47">
      <x:c r="A47" s="19" t="str">
        <x:v>SRC-NBIS-META-CONTRACT</x:v>
      </x:c>
      <x:c r="B47" s="45" t="d">
        <x:v>2026-04-30T00:00:00.000Z</x:v>
      </x:c>
      <x:c r="C47" s="19" t="str">
        <x:v>Nebius Group N.V.</x:v>
      </x:c>
      <x:c r="D47" s="43" t="str">
        <x:v>Meta March 13 2026 infrastructure agreement, Exhibit 4.3</x:v>
      </x:c>
      <x:c r="E47" s="43" t="str">
        <x:v>contract_exhibit</x:v>
      </x:c>
      <x:c r="F47" s="43" t="str">
        <x:v>https://www.sec.gov/Archives/edgar/data/1513845/000110465926052948/nbis-20251231xex4d3.htm</x:v>
      </x:c>
      <x:c r="G47" s="43" t="str">
        <x:v>nebius; revenue_per_mw; contract_economics</x:v>
      </x:c>
      <x:c r="H47" s="43" t="str">
        <x:v>active</x:v>
      </x:c>
      <x:c r="I47" s="43" t="str">
        <x:v>Sections 2.2 affiliate orders; 14.9 force majeure; 15 financing matters</x:v>
      </x:c>
    </x:row>
    <x:row r="48">
      <x:c r="A48" s="19" t="str">
        <x:v>SRC-NBIS-META-20260316</x:v>
      </x:c>
      <x:c r="B48" s="45" t="d">
        <x:v>2026-03-16T00:00:00.000Z</x:v>
      </x:c>
      <x:c r="C48" s="19" t="str">
        <x:v>Nebius Group N.V.</x:v>
      </x:c>
      <x:c r="D48" s="43" t="str">
        <x:v>New AI infrastructure agreement with Meta</x:v>
      </x:c>
      <x:c r="E48" s="43" t="str">
        <x:v>issuer_press_release</x:v>
      </x:c>
      <x:c r="F48" s="43" t="str">
        <x:v>https://www.businesswire.com/news/home/20260316469367/en/Nebius-Signs-New-AI-Infrastructure-Agreement-with-Meta</x:v>
      </x:c>
      <x:c r="G48" s="43" t="str">
        <x:v>nebius; revenue_per_mw; contract_economics</x:v>
      </x:c>
      <x:c r="H48" s="43" t="str">
        <x:v>active</x:v>
      </x:c>
      <x:c r="I48" s="43" t="str">
        <x:v>Opening three substantive paragraphs</x:v>
      </x:c>
    </x:row>
    <x:row r="49">
      <x:c r="A49" s="19" t="str">
        <x:v>SRC-NBIS-BLOOM-CONTRACT</x:v>
      </x:c>
      <x:c r="B49" s="45" t="d">
        <x:v>2026-05-20T00:00:00.000Z</x:v>
      </x:c>
      <x:c r="C49" s="19" t="str">
        <x:v>Nebius Group N.V.</x:v>
      </x:c>
      <x:c r="D49" s="43" t="str">
        <x:v>Q1 financials subsequent event: Bloom fuel-cell capacity agreement</x:v>
      </x:c>
      <x:c r="E49" s="43" t="str">
        <x:v>6-K_exhibit</x:v>
      </x:c>
      <x:c r="F49" s="43" t="str">
        <x:v>https://www.sec.gov/Archives/edgar/data/1513845/000110465926064092/nbis-20260331xex99d2.htm</x:v>
      </x:c>
      <x:c r="G49" s="43" t="str">
        <x:v>nebius; revenue_per_mw; contract_economics</x:v>
      </x:c>
      <x:c r="H49" s="43" t="str">
        <x:v>active</x:v>
      </x:c>
      <x:c r="I49" s="43" t="str">
        <x:v>Note 16 Subsequent Events, F-30, Fuel Cell Capacity Agreement</x:v>
      </x:c>
    </x:row>
    <x:row r="50">
      <x:c r="A50" s="19" t="str">
        <x:v>SRC-NBIS-ABS-20260717</x:v>
      </x:c>
      <x:c r="B50" s="45" t="d">
        <x:v>2026-07-17T00:00:00.000Z</x:v>
      </x:c>
      <x:c r="C50" s="19" t="str">
        <x:v>Nebius Group N.V.</x:v>
      </x:c>
      <x:c r="D50" s="43" t="str">
        <x:v>Asset-backed facility signed July 10</x:v>
      </x:c>
      <x:c r="E50" s="43" t="str">
        <x:v>6-K</x:v>
      </x:c>
      <x:c r="F50" s="43" t="str">
        <x:v>https://www.sec.gov/Archives/edgar/data/1513845/000110465926084452/tm2620683d1_6k.htm</x:v>
      </x:c>
      <x:c r="G50" s="43" t="str">
        <x:v>nebius; revenue_per_mw; contract_economics</x:v>
      </x:c>
      <x:c r="H50" s="43" t="str">
        <x:v>active</x:v>
      </x:c>
      <x:c r="I50" s="43" t="str">
        <x:v>ASSET-BACKED FACILITY terms, security, covenants and guarantee paragraphs</x:v>
      </x:c>
    </x:row>
    <x:row r="51">
      <x:c r="A51" s="19" t="str">
        <x:v>SRC-NBIS-CONVERT-20260824</x:v>
      </x:c>
      <x:c r="B51" s="45" t="d">
        <x:v>2026-08-24T00:00:00.000Z</x:v>
      </x:c>
      <x:c r="C51" s="19" t="str">
        <x:v>Nebius Group N.V.</x:v>
      </x:c>
      <x:c r="D51" s="43" t="str">
        <x:v>Closing of $5.75B convertible senior notes</x:v>
      </x:c>
      <x:c r="E51" s="43" t="str">
        <x:v>6-K_exhibit</x:v>
      </x:c>
      <x:c r="F51" s="43" t="str">
        <x:v>https://www.sec.gov/Archives/edgar/data/1513845/000110465926100347/tm2623863d1_ex99-1.htm</x:v>
      </x:c>
      <x:c r="G51" s="43" t="str">
        <x:v>nebius; revenue_per_mw; contract_economics</x:v>
      </x:c>
      <x:c r="H51" s="43" t="str">
        <x:v>active</x:v>
      </x:c>
      <x:c r="I51" s="43" t="str">
        <x:v>Proceeds, accretion and exchange transaction paragraphs</x:v>
      </x:c>
    </x:row>
    <x:row r="52">
      <x:c r="A52" s="19" t="str">
        <x:v>SRC-NBIS-INDENTURE-2030</x:v>
      </x:c>
      <x:c r="B52" s="45" t="d">
        <x:v>2026-08-24T00:00:00.000Z</x:v>
      </x:c>
      <x:c r="C52" s="19" t="str">
        <x:v>Nebius Group N.V.</x:v>
      </x:c>
      <x:c r="D52" s="43" t="str">
        <x:v>0.500% notes due 2030 indenture</x:v>
      </x:c>
      <x:c r="E52" s="43" t="str">
        <x:v>indenture</x:v>
      </x:c>
      <x:c r="F52" s="43" t="str">
        <x:v>https://www.sec.gov/Archives/edgar/data/1513845/000110465926100347/tm2623863d1_ex4-1.htm</x:v>
      </x:c>
      <x:c r="G52" s="43" t="str">
        <x:v>nebius; revenue_per_mw; contract_economics</x:v>
      </x:c>
      <x:c r="H52" s="43" t="str">
        <x:v>active</x:v>
      </x:c>
      <x:c r="I52" s="43" t="str">
        <x:v>Section 2.21 and Exhibit C C-1 accreted principal schedule</x:v>
      </x:c>
    </x:row>
    <x:row r="53">
      <x:c r="A53" s="19" t="str">
        <x:v>SRC-NBIS-INDENTURE-2034</x:v>
      </x:c>
      <x:c r="B53" s="45" t="d">
        <x:v>2026-08-24T00:00:00.000Z</x:v>
      </x:c>
      <x:c r="C53" s="19" t="str">
        <x:v>Nebius Group N.V.</x:v>
      </x:c>
      <x:c r="D53" s="43" t="str">
        <x:v>4.500% notes due 2034 indenture</x:v>
      </x:c>
      <x:c r="E53" s="43" t="str">
        <x:v>indenture</x:v>
      </x:c>
      <x:c r="F53" s="43" t="str">
        <x:v>https://www.sec.gov/Archives/edgar/data/1513845/000110465926100347/tm2623863d1_ex4-3.htm</x:v>
      </x:c>
      <x:c r="G53" s="43" t="str">
        <x:v>nebius; revenue_per_mw; contract_economics</x:v>
      </x:c>
      <x:c r="H53" s="43" t="str">
        <x:v>active</x:v>
      </x:c>
      <x:c r="I53" s="43" t="str">
        <x:v>Sections 1.02(L), 2.21 and Exhibit C C-1</x:v>
      </x:c>
    </x:row>
    <x:row r="54">
      <x:c r="A54" s="19" t="str">
        <x:v>SRC-NBIS-PALANTIR-20260908</x:v>
      </x:c>
      <x:c r="B54" s="45" t="d">
        <x:v>2026-09-08T00:00:00.000Z</x:v>
      </x:c>
      <x:c r="C54" s="19" t="str">
        <x:v>Nebius Group N.V.</x:v>
      </x:c>
      <x:c r="D54" s="43" t="str">
        <x:v>Palantir/Nebius sovereign AI partnership</x:v>
      </x:c>
      <x:c r="E54" s="43" t="str">
        <x:v>6-K_exhibit</x:v>
      </x:c>
      <x:c r="F54" s="43" t="str">
        <x:v>https://www.sec.gov/Archives/edgar/data/1513845/000110465926105749/tm2624958d1_ex99-1.htm</x:v>
      </x:c>
      <x:c r="G54" s="43" t="str">
        <x:v>nebius; revenue_per_mw; contract_economics</x:v>
      </x:c>
      <x:c r="H54" s="43" t="str">
        <x:v>active</x:v>
      </x:c>
      <x:c r="I54" s="43" t="str">
        <x:v>Opening partnership and integration description</x:v>
      </x:c>
    </x:row>
    <x:row r="55">
      <x:c r="A55" s="19" t="str">
        <x:v>SRC-NBIS-NEWSROOM-20260915</x:v>
      </x:c>
      <x:c r="B55" s="45" t="d">
        <x:v>2026-09-15T00:00:00.000Z</x:v>
      </x:c>
      <x:c r="C55" s="19" t="str">
        <x:v>Nebius Group N.V.</x:v>
      </x:c>
      <x:c r="D55" s="43" t="str">
        <x:v>Issuer news index checked September 15</x:v>
      </x:c>
      <x:c r="E55" s="43" t="str">
        <x:v>issuer_index</x:v>
      </x:c>
      <x:c r="F55" s="43" t="str">
        <x:v>https://nebius.com/newsroom</x:v>
      </x:c>
      <x:c r="G55" s="43" t="str">
        <x:v>nebius; revenue_per_mw; contract_economics</x:v>
      </x:c>
      <x:c r="H55" s="43" t="str">
        <x:v>active</x:v>
      </x:c>
      <x:c r="I55" s="43" t="str">
        <x:v>Latest press releases; latest economic news September 8</x:v>
      </x:c>
    </x:row>
    <x:row r="56">
      <x:c r="A56" s="19" t="str">
        <x:v>SRC-IREN-10K-FY26</x:v>
      </x:c>
      <x:c r="B56" s="45" t="d">
        <x:v>2026-08-27T00:00:00.000Z</x:v>
      </x:c>
      <x:c r="C56" s="19" t="str">
        <x:v>IREN Limited / SEC</x:v>
      </x:c>
      <x:c r="D56" s="43" t="str">
        <x:v>FY2026 Form 10-K</x:v>
      </x:c>
      <x:c r="E56" s="43" t="str">
        <x:v>10-K</x:v>
      </x:c>
      <x:c r="F56" s="43" t="str">
        <x:v>https://www.sec.gov/Archives/edgar/data/1878848/000187884826000052/iren-20260630.htm</x:v>
      </x:c>
      <x:c r="G56" s="43" t="str">
        <x:v>iren; revenue_per_mw; contract_economics; capex</x:v>
      </x:c>
      <x:c r="H56" s="43" t="str">
        <x:v>active</x:v>
      </x:c>
      <x:c r="I56" s="43" t="str">
        <x:v>Item 1 pp.12-15; Item 7 pp.115-124; Notes 4 20 23 and 26</x:v>
      </x:c>
    </x:row>
    <x:row r="57">
      <x:c r="A57" s="19" t="str">
        <x:v>SRC-IREN-10Q-Q3FY26</x:v>
      </x:c>
      <x:c r="B57" s="45" t="d">
        <x:v>2026-05-08T00:00:00.000Z</x:v>
      </x:c>
      <x:c r="C57" s="19" t="str">
        <x:v>IREN Limited / SEC</x:v>
      </x:c>
      <x:c r="D57" s="43" t="str">
        <x:v>Q3 FY2026 Form 10-Q</x:v>
      </x:c>
      <x:c r="E57" s="43" t="str">
        <x:v>10-Q</x:v>
      </x:c>
      <x:c r="F57" s="43" t="str">
        <x:v>https://www.sec.gov/Archives/edgar/data/1878848/000187884826000026/iren-20260331.htm</x:v>
      </x:c>
      <x:c r="G57" s="43" t="str">
        <x:v>iren; revenue_per_mw; contract_economics</x:v>
      </x:c>
      <x:c r="H57" s="43" t="str">
        <x:v>active</x:v>
      </x:c>
      <x:c r="I57" s="43" t="str">
        <x:v>Note 2 segment policy; Note 4 revenue; Microsoft agreement; MD&amp;A</x:v>
      </x:c>
    </x:row>
    <x:row r="58">
      <x:c r="A58" s="19" t="str">
        <x:v>SRC-IREN-Q3FY26-ER</x:v>
      </x:c>
      <x:c r="B58" s="45" t="d">
        <x:v>2026-05-08T00:00:00.000Z</x:v>
      </x:c>
      <x:c r="C58" s="19" t="str">
        <x:v>IREN Limited / SEC</x:v>
      </x:c>
      <x:c r="D58" s="43" t="str">
        <x:v>Q3 FY2026 results</x:v>
      </x:c>
      <x:c r="E58" s="43" t="str">
        <x:v>earnings_release</x:v>
      </x:c>
      <x:c r="F58" s="43" t="str">
        <x:v>https://www.sec.gov/Archives/edgar/data/1878848/000187884826000025/irenreportsq3fy26results.htm</x:v>
      </x:c>
      <x:c r="G58" s="43" t="str">
        <x:v>iren; revenue_per_mw; contract_economics</x:v>
      </x:c>
      <x:c r="H58" s="43" t="str">
        <x:v>active</x:v>
      </x:c>
      <x:c r="I58" s="43" t="str">
        <x:v>pp.1-4 operating and contract update; p.9 revenue table</x:v>
      </x:c>
    </x:row>
    <x:row r="59">
      <x:c r="A59" s="19" t="str">
        <x:v>SRC-IREN-FY26-ER</x:v>
      </x:c>
      <x:c r="B59" s="45" t="d">
        <x:v>2026-08-27T00:00:00.000Z</x:v>
      </x:c>
      <x:c r="C59" s="19" t="str">
        <x:v>IREN Limited / SEC</x:v>
      </x:c>
      <x:c r="D59" s="43" t="str">
        <x:v>FY2026 results</x:v>
      </x:c>
      <x:c r="E59" s="43" t="str">
        <x:v>earnings_release</x:v>
      </x:c>
      <x:c r="F59" s="43" t="str">
        <x:v>https://www.sec.gov/Archives/edgar/data/1878848/000187884826000051/irenreportsfy26results.htm</x:v>
      </x:c>
      <x:c r="G59" s="43" t="str">
        <x:v>iren; revenue_per_mw; contract_economics; capex</x:v>
      </x:c>
      <x:c r="H59" s="43" t="str">
        <x:v>active</x:v>
      </x:c>
      <x:c r="I59" s="43" t="str">
        <x:v>pp.1-3 pricing delivery and financing; pp.9-13 financial tables</x:v>
      </x:c>
    </x:row>
    <x:row r="60">
      <x:c r="A60" s="19" t="str">
        <x:v>SRC-IREN-FY26-PRESENTATION</x:v>
      </x:c>
      <x:c r="B60" s="45" t="d">
        <x:v>2026-08-27T00:00:00.000Z</x:v>
      </x:c>
      <x:c r="C60" s="19" t="str">
        <x:v>IREN Limited</x:v>
      </x:c>
      <x:c r="D60" s="43" t="str">
        <x:v>FY2026 results presentation</x:v>
      </x:c>
      <x:c r="E60" s="43" t="str">
        <x:v>earnings_presentation</x:v>
      </x:c>
      <x:c r="F60" s="43" t="str">
        <x:v>https://iren.gcs-web.com/static-files/1ca5b6f0-4b4d-4710-a7e2-69435e112b60</x:v>
      </x:c>
      <x:c r="G60" s="43" t="str">
        <x:v>iren; revenue_per_mw; contract_economics; capex</x:v>
      </x:c>
      <x:c r="H60" s="43" t="str">
        <x:v>active</x:v>
      </x:c>
      <x:c r="I60" s="43" t="str">
        <x:v>pp.5 9 11-15 20 22-24 and 26</x:v>
      </x:c>
    </x:row>
    <x:row r="61">
      <x:c r="A61" s="19" t="str">
        <x:v>SRC-IREN-MSFT-8K-20251103</x:v>
      </x:c>
      <x:c r="B61" s="45" t="d">
        <x:v>2025-11-03T00:00:00.000Z</x:v>
      </x:c>
      <x:c r="C61" s="19" t="str">
        <x:v>IREN Limited / SEC</x:v>
      </x:c>
      <x:c r="D61" s="43" t="str">
        <x:v>Microsoft and Dell agreements</x:v>
      </x:c>
      <x:c r="E61" s="43" t="str">
        <x:v>8-K</x:v>
      </x:c>
      <x:c r="F61" s="43" t="str">
        <x:v>https://www.sec.gov/Archives/edgar/data/1878848/000114036125040072/ef20058139_8k.htm</x:v>
      </x:c>
      <x:c r="G61" s="43" t="str">
        <x:v>iren; revenue_per_mw; contract_economics; capex</x:v>
      </x:c>
      <x:c r="H61" s="43" t="str">
        <x:v>active</x:v>
      </x:c>
      <x:c r="I61" s="43" t="str">
        <x:v>Items 1.01 and 7.01</x:v>
      </x:c>
    </x:row>
    <x:row r="62">
      <x:c r="A62" s="19" t="str">
        <x:v>SRC-IREN-MSFT-CONTRACT</x:v>
      </x:c>
      <x:c r="B62" s="45" t="d">
        <x:v>2026-02-05T00:00:00.000Z</x:v>
      </x:c>
      <x:c r="C62" s="19" t="str">
        <x:v>IREN Limited / SEC</x:v>
      </x:c>
      <x:c r="D62" s="43" t="str">
        <x:v>Microsoft partner statement of work</x:v>
      </x:c>
      <x:c r="E62" s="43" t="str">
        <x:v>contract_exhibit</x:v>
      </x:c>
      <x:c r="F62" s="43" t="str">
        <x:v>https://www.sec.gov/Archives/edgar/data/1878848/000187884826000015/exhibit103-partnerstatem.htm</x:v>
      </x:c>
      <x:c r="G62" s="43" t="str">
        <x:v>iren; revenue_per_mw; contract_economics</x:v>
      </x:c>
      <x:c r="H62" s="43" t="str">
        <x:v>active</x:v>
      </x:c>
      <x:c r="I62" s="43" t="str">
        <x:v>pp.3-5 acceptance; pp.6-8 fees tranches and prepayment; pp.9-13 delay and termination</x:v>
      </x:c>
    </x:row>
    <x:row r="63">
      <x:c r="A63" s="19" t="str">
        <x:v>SRC-IREN-GPUFIN-8K-20260529</x:v>
      </x:c>
      <x:c r="B63" s="45" t="d">
        <x:v>2026-05-29T00:00:00.000Z</x:v>
      </x:c>
      <x:c r="C63" s="19" t="str">
        <x:v>IREN Limited / SEC</x:v>
      </x:c>
      <x:c r="D63" s="43" t="str">
        <x:v>Microsoft GPU financing</x:v>
      </x:c>
      <x:c r="E63" s="43" t="str">
        <x:v>8-K</x:v>
      </x:c>
      <x:c r="F63" s="43" t="str">
        <x:v>https://www.sec.gov/Archives/edgar/data/1878848/000114036126023427/ef20075181_8k.htm</x:v>
      </x:c>
      <x:c r="G63" s="43" t="str">
        <x:v>iren; contract_economics; capex</x:v>
      </x:c>
      <x:c r="H63" s="43" t="str">
        <x:v>active</x:v>
      </x:c>
      <x:c r="I63" s="43" t="str">
        <x:v>Item 1.01 financing collateral covenants 1.05x ongoing DSCR and guarantees</x:v>
      </x:c>
    </x:row>
    <x:row r="64">
      <x:c r="A64" s="19" t="str">
        <x:v>SRC-IREN-GPUFIN-NPA</x:v>
      </x:c>
      <x:c r="B64" s="45" t="d">
        <x:v>2026-08-27T00:00:00.000Z</x:v>
      </x:c>
      <x:c r="C64" s="19" t="str">
        <x:v>IREN Limited / SEC</x:v>
      </x:c>
      <x:c r="D64" s="43" t="str">
        <x:v>5.96% note purchase agreement</x:v>
      </x:c>
      <x:c r="E64" s="43" t="str">
        <x:v>financing_exhibit</x:v>
      </x:c>
      <x:c r="F64" s="43" t="str">
        <x:v>https://www.sec.gov/Archives/edgar/data/1878848/000187884826000052/a1036notepurchaseagreeme.htm</x:v>
      </x:c>
      <x:c r="G64" s="43" t="str">
        <x:v>iren; contract_economics; capex</x:v>
      </x:c>
      <x:c r="H64" s="43" t="str">
        <x:v>active</x:v>
      </x:c>
      <x:c r="I64" s="43" t="str">
        <x:v>Sections 1 3 8-9 and Schedule B</x:v>
      </x:c>
    </x:row>
    <x:row r="65">
      <x:c r="A65" s="19" t="str">
        <x:v>SRC-IREN-GPUFIN-CTA</x:v>
      </x:c>
      <x:c r="B65" s="45" t="d">
        <x:v>2026-08-27T00:00:00.000Z</x:v>
      </x:c>
      <x:c r="C65" s="19" t="str">
        <x:v>IREN Limited / SEC</x:v>
      </x:c>
      <x:c r="D65" s="43" t="str">
        <x:v>GPU financing common terms agreement</x:v>
      </x:c>
      <x:c r="E65" s="43" t="str">
        <x:v>financing_exhibit</x:v>
      </x:c>
      <x:c r="F65" s="43" t="str">
        <x:v>https://www.sec.gov/Archives/edgar/data/1878848/000187884826000052/a1037commontermsagreemen.htm</x:v>
      </x:c>
      <x:c r="G65" s="43" t="str">
        <x:v>iren; contract_economics; capex</x:v>
      </x:c>
      <x:c r="H65" s="43" t="str">
        <x:v>active</x:v>
      </x:c>
      <x:c r="I65" s="43" t="str">
        <x:v>Sections 3 5 and 6; Schedule 1.1(a)</x:v>
      </x:c>
    </x:row>
    <x:row r="66">
      <x:c r="A66" s="19" t="str">
        <x:v>SRC-IREN-GPUFIN-REMARKETING-GUARANTEE</x:v>
      </x:c>
      <x:c r="B66" s="45" t="d">
        <x:v>2026-08-27T00:00:00.000Z</x:v>
      </x:c>
      <x:c r="C66" s="19" t="str">
        <x:v>IREN Limited / SEC</x:v>
      </x:c>
      <x:c r="D66" s="43" t="str">
        <x:v>IREN parent remarketing guarantee</x:v>
      </x:c>
      <x:c r="E66" s="43" t="str">
        <x:v>guarantee_exhibit</x:v>
      </x:c>
      <x:c r="F66" s="43" t="str">
        <x:v>https://www.sec.gov/Archives/edgar/data/1878848/000187884826000052/a1038irenlimitedparentguar.htm</x:v>
      </x:c>
      <x:c r="G66" s="43" t="str">
        <x:v>iren; contract_economics; capex</x:v>
      </x:c>
      <x:c r="H66" s="43" t="str">
        <x:v>active</x:v>
      </x:c>
      <x:c r="I66" s="43" t="str">
        <x:v>Article II guaranteed obligations; release and termination provisions</x:v>
      </x:c>
    </x:row>
    <x:row r="67">
      <x:c r="A67" s="19" t="str">
        <x:v>SRC-IREN-GPUFIN-PERFORMANCE-GUARANTEE</x:v>
      </x:c>
      <x:c r="B67" s="45" t="d">
        <x:v>2026-08-27T00:00:00.000Z</x:v>
      </x:c>
      <x:c r="C67" s="19" t="str">
        <x:v>IREN Limited / SEC</x:v>
      </x:c>
      <x:c r="D67" s="43" t="str">
        <x:v>IREN managed-services performance guarantee</x:v>
      </x:c>
      <x:c r="E67" s="43" t="str">
        <x:v>guarantee_exhibit</x:v>
      </x:c>
      <x:c r="F67" s="43" t="str">
        <x:v>https://www.sec.gov/Archives/edgar/data/1878848/000187884826000052/a1054irenlimitedparentguar.htm</x:v>
      </x:c>
      <x:c r="G67" s="43" t="str">
        <x:v>iren; contract_economics; capex</x:v>
      </x:c>
      <x:c r="H67" s="43" t="str">
        <x:v>active</x:v>
      </x:c>
      <x:c r="I67" s="43" t="str">
        <x:v>Sections 1.1 2.1-2.3 and 5.10</x:v>
      </x:c>
    </x:row>
    <x:row r="68">
      <x:c r="A68" s="19" t="str">
        <x:v>SRC-IREN-HORIZON1-20260813</x:v>
      </x:c>
      <x:c r="B68" s="45" t="d">
        <x:v>2026-08-13T00:00:00.000Z</x:v>
      </x:c>
      <x:c r="C68" s="19" t="str">
        <x:v>IREN Limited / SEC</x:v>
      </x:c>
      <x:c r="D68" s="43" t="str">
        <x:v>First Horizon 1 Microsoft tranche accepted</x:v>
      </x:c>
      <x:c r="E68" s="43" t="str">
        <x:v>8-K_exhibit</x:v>
      </x:c>
      <x:c r="F68" s="43" t="str">
        <x:v>https://www.sec.gov/Archives/edgar/data/1878848/000114036126032638/ef20080141_8k.htm</x:v>
      </x:c>
      <x:c r="G68" s="43" t="str">
        <x:v>iren; revenue_per_mw; contract_economics</x:v>
      </x:c>
      <x:c r="H68" s="43" t="str">
        <x:v>active</x:v>
      </x:c>
      <x:c r="I68" s="43" t="str">
        <x:v>Opening three paragraphs; 50 IT MW is subsequent to Q4 FY2026</x:v>
      </x:c>
    </x:row>
    <x:row r="69">
      <x:c r="A69" s="19" t="str">
        <x:v>SRC-IREN-NVIDIA-DELL-20260526</x:v>
      </x:c>
      <x:c r="B69" s="45" t="d">
        <x:v>2026-05-26T00:00:00.000Z</x:v>
      </x:c>
      <x:c r="C69" s="19" t="str">
        <x:v>IREN Limited / SEC</x:v>
      </x:c>
      <x:c r="D69" s="43" t="str">
        <x:v>NVIDIA managed services and Dell purchase agreements</x:v>
      </x:c>
      <x:c r="E69" s="43" t="str">
        <x:v>8-K_and_exhibit</x:v>
      </x:c>
      <x:c r="F69" s="43" t="str">
        <x:v>https://www.sec.gov/Archives/edgar/data/1878848/000187884826000030/0001878848-26-000030.txt</x:v>
      </x:c>
      <x:c r="G69" s="43" t="str">
        <x:v>iren; revenue_per_mw; contract_economics; capex</x:v>
      </x:c>
      <x:c r="H69" s="43" t="str">
        <x:v>active</x:v>
      </x:c>
      <x:c r="I69" s="43" t="str">
        <x:v>Item 1.01 Dell order and guarantee; Exhibit 99.1 NVIDIA contract</x:v>
      </x:c>
    </x:row>
    <x:row r="70">
      <x:c r="A70" s="19" t="str">
        <x:v>SRC-IREN-PRINCE-GEORGE-SITE-20260916</x:v>
      </x:c>
      <x:c r="B70" s="45" t="d">
        <x:v>2026-09-16T00:00:00.000Z</x:v>
      </x:c>
      <x:c r="C70" s="19" t="str">
        <x:v>IREN Limited</x:v>
      </x:c>
      <x:c r="D70" s="43" t="str">
        <x:v>Prince George data center specifications</x:v>
      </x:c>
      <x:c r="E70" s="43" t="str">
        <x:v>issuer_site_page</x:v>
      </x:c>
      <x:c r="F70" s="43" t="str">
        <x:v>https://iren.com/data-centers/prince-george</x:v>
      </x:c>
      <x:c r="G70" s="43" t="str">
        <x:v>iren; effective_mw</x:v>
      </x:c>
      <x:c r="H70" s="43" t="str">
        <x:v>active</x:v>
      </x:c>
      <x:c r="I70" s="43" t="str">
        <x:v>50 MW power capacity; average PUE 1.1; no measurement period or energy totals</x:v>
      </x:c>
    </x:row>
    <x:row r="71">
      <x:c r="A71" s="19" t="str">
        <x:v>SRC-IREN-MACKENZIE-SITE-20260916</x:v>
      </x:c>
      <x:c r="B71" s="45" t="d">
        <x:v>2026-09-16T00:00:00.000Z</x:v>
      </x:c>
      <x:c r="C71" s="19" t="str">
        <x:v>IREN Limited</x:v>
      </x:c>
      <x:c r="D71" s="43" t="str">
        <x:v>Mackenzie data center specifications</x:v>
      </x:c>
      <x:c r="E71" s="43" t="str">
        <x:v>issuer_site_page</x:v>
      </x:c>
      <x:c r="F71" s="43" t="str">
        <x:v>https://iren.com/data-centers/mackenzie</x:v>
      </x:c>
      <x:c r="G71" s="43" t="str">
        <x:v>iren; effective_mw</x:v>
      </x:c>
      <x:c r="H71" s="43" t="str">
        <x:v>active</x:v>
      </x:c>
      <x:c r="I71" s="43" t="str">
        <x:v>80 MW power capacity; average PUE 1.1; no measurement period or energy totals</x:v>
      </x:c>
    </x:row>
    <x:row r="72">
      <x:c r="A72" s="19" t="str">
        <x:v>SRC-IREN-SWEETWATER-20260908</x:v>
      </x:c>
      <x:c r="B72" s="45" t="d">
        <x:v>2026-09-08T00:00:00.000Z</x:v>
      </x:c>
      <x:c r="C72" s="19" t="str">
        <x:v>IREN Limited</x:v>
      </x:c>
      <x:c r="D72" s="43" t="str">
        <x:v>Sweetwater conditional ERCOT Batch Zero inclusion</x:v>
      </x:c>
      <x:c r="E72" s="43" t="str">
        <x:v>issuer_press_release</x:v>
      </x:c>
      <x:c r="F72" s="43" t="str">
        <x:v>https://iren.gcs-web.com/static-files/32760df9-d8fc-4118-90b3-6c9d3bb815a7</x:v>
      </x:c>
      <x:c r="G72" s="43" t="str">
        <x:v>iren; contract_economics; capex</x:v>
      </x:c>
      <x:c r="H72" s="43" t="str">
        <x:v>active</x:v>
      </x:c>
      <x:c r="I72" s="43" t="str">
        <x:v>p.1 conditional grid inclusion and 300 MW gross construction target</x:v>
      </x:c>
    </x:row>
    <x:row r="73">
      <x:c r="A73" s="19" t="str">
        <x:v>SRC-MSFT-10K-FY26</x:v>
      </x:c>
      <x:c r="B73" s="45" t="d">
        <x:v>2026-07-29T00:00:00.000Z</x:v>
      </x:c>
      <x:c r="C73" s="19" t="str">
        <x:v>Microsoft Corporation / SEC</x:v>
      </x:c>
      <x:c r="D73" s="43" t="str">
        <x:v>FY2026 Form 10-K</x:v>
      </x:c>
      <x:c r="E73" s="43" t="str">
        <x:v>10-K</x:v>
      </x:c>
      <x:c r="F73" s="43" t="str">
        <x:v>https://www.sec.gov/Archives/edgar/data/789019/000119312526323660/msft-20260630.htm</x:v>
      </x:c>
      <x:c r="G73" s="43" t="str">
        <x:v>microsoft_azure; revenue_per_mw; contract_economics; capex</x:v>
      </x:c>
      <x:c r="H73" s="43" t="str">
        <x:v>active</x:v>
      </x:c>
      <x:c r="I73" s="43" t="str">
        <x:v>Item 7 pp.33-45; Item 8 pp.52, 68-69, 76-79; obligations p.43; Notes 6, 12 and 13</x:v>
      </x:c>
    </x:row>
    <x:row r="74">
      <x:c r="A74" s="19" t="str">
        <x:v>SRC-MSFT-10Q-Q3FY26</x:v>
      </x:c>
      <x:c r="B74" s="45" t="d">
        <x:v>2026-04-29T00:00:00.000Z</x:v>
      </x:c>
      <x:c r="C74" s="19" t="str">
        <x:v>Microsoft Corporation / SEC</x:v>
      </x:c>
      <x:c r="D74" s="43" t="str">
        <x:v>Q3 FY2026 Form 10-Q</x:v>
      </x:c>
      <x:c r="E74" s="43" t="str">
        <x:v>10-Q</x:v>
      </x:c>
      <x:c r="F74" s="43" t="str">
        <x:v>https://www.sec.gov/Archives/edgar/data/789019/000119312526191507/msft-20260331.htm</x:v>
      </x:c>
      <x:c r="G74" s="43" t="str">
        <x:v>microsoft_azure; revenue_per_mw; contract_economics; capex</x:v>
      </x:c>
      <x:c r="H74" s="43" t="str">
        <x:v>active</x:v>
      </x:c>
      <x:c r="I74" s="43" t="str">
        <x:v>Notes 11-12 pp.20-24; Item 2 pp.31-47; uncommenced leases p.23</x:v>
      </x:c>
    </x:row>
    <x:row r="75">
      <x:c r="A75" s="19" t="str">
        <x:v>SRC-MSFT-FY26-ER</x:v>
      </x:c>
      <x:c r="B75" s="45" t="d">
        <x:v>2026-07-29T00:00:00.000Z</x:v>
      </x:c>
      <x:c r="C75" s="19" t="str">
        <x:v>Microsoft Corporation / SEC</x:v>
      </x:c>
      <x:c r="D75" s="43" t="str">
        <x:v>Q4 and FY2026 results</x:v>
      </x:c>
      <x:c r="E75" s="43" t="str">
        <x:v>earnings_release</x:v>
      </x:c>
      <x:c r="F75" s="43" t="str">
        <x:v>https://www.sec.gov/Archives/edgar/data/789019/000119312526323632/msft-ex99_1.htm</x:v>
      </x:c>
      <x:c r="G75" s="43" t="str">
        <x:v>microsoft_azure; revenue_per_mw; capex</x:v>
      </x:c>
      <x:c r="H75" s="43" t="str">
        <x:v>active</x:v>
      </x:c>
      <x:c r="I75" s="43" t="str">
        <x:v>Business Highlights and financial tables</x:v>
      </x:c>
    </x:row>
    <x:row r="76">
      <x:c r="A76" s="19" t="str">
        <x:v>SRC-MSFT-FY26-CALL</x:v>
      </x:c>
      <x:c r="B76" s="45" t="d">
        <x:v>2026-07-29T00:00:00.000Z</x:v>
      </x:c>
      <x:c r="C76" s="19" t="str">
        <x:v>Microsoft Corporation</x:v>
      </x:c>
      <x:c r="D76" s="43" t="str">
        <x:v>Q4 FY2026 earnings call transcript</x:v>
      </x:c>
      <x:c r="E76" s="43" t="str">
        <x:v>earnings_call_transcript</x:v>
      </x:c>
      <x:c r="F76" s="43" t="str">
        <x:v>https://www.microsoft.com/en-us/Investor/events/FY-2026/earnings-fy-2026-q4</x:v>
      </x:c>
      <x:c r="G76" s="43" t="str">
        <x:v>microsoft_azure; revenue_per_mw; token_economics; jevons; capex</x:v>
      </x:c>
      <x:c r="H76" s="43" t="str">
        <x:v>active</x:v>
      </x:c>
      <x:c r="I76" s="43" t="str">
        <x:v>Capacity, efficiency, capex, leases and outlook</x:v>
      </x:c>
    </x:row>
    <x:row r="77">
      <x:c r="A77" s="19" t="str">
        <x:v>SRC-MSFT-SEGMENT-8K-20260902</x:v>
      </x:c>
      <x:c r="B77" s="45" t="d">
        <x:v>2026-09-02T00:00:00.000Z</x:v>
      </x:c>
      <x:c r="C77" s="19" t="str">
        <x:v>Microsoft Corporation / SEC</x:v>
      </x:c>
      <x:c r="D77" s="43" t="str">
        <x:v>FY2027 segment reporting change Form 8-K</x:v>
      </x:c>
      <x:c r="E77" s="43" t="str">
        <x:v>8-K</x:v>
      </x:c>
      <x:c r="F77" s="43" t="str">
        <x:v>https://www.sec.gov/Archives/edgar/data/789019/000119312526380280/d291965d8k.htm</x:v>
      </x:c>
      <x:c r="G77" s="43" t="str">
        <x:v>microsoft_azure; revenue_per_mw</x:v>
      </x:c>
      <x:c r="H77" s="43" t="str">
        <x:v>active</x:v>
      </x:c>
      <x:c r="I77" s="43" t="str">
        <x:v>Item 7.01 and Exhibit 99.1</x:v>
      </x:c>
    </x:row>
    <x:row r="78">
      <x:c r="A78" s="19" t="str">
        <x:v>SRC-MSFT-SEGMENT-EX99-20260902</x:v>
      </x:c>
      <x:c r="B78" s="45" t="d">
        <x:v>2026-09-02T00:00:00.000Z</x:v>
      </x:c>
      <x:c r="C78" s="19" t="str">
        <x:v>Microsoft Corporation / SEC</x:v>
      </x:c>
      <x:c r="D78" s="43" t="str">
        <x:v>FY2027 segments and investor metrics</x:v>
      </x:c>
      <x:c r="E78" s="43" t="str">
        <x:v>8-K_exhibit</x:v>
      </x:c>
      <x:c r="F78" s="43" t="str">
        <x:v>https://www.sec.gov/Archives/edgar/data/789019/000119312526380280/d291965dex991.htm</x:v>
      </x:c>
      <x:c r="G78" s="43" t="str">
        <x:v>microsoft_azure; revenue_per_mw</x:v>
      </x:c>
      <x:c r="H78" s="43" t="str">
        <x:v>active</x:v>
      </x:c>
      <x:c r="I78" s="43" t="str">
        <x:v>Slides 4-7, 11-13 and 17-18; exact restated Azure revenue and changed perimeter</x:v>
      </x:c>
    </x:row>
    <x:row r="79">
      <x:c r="A79" s="19" t="str">
        <x:v>SRC-MSFT-PUE-FY25</x:v>
      </x:c>
      <x:c r="B79" s="45" t="d">
        <x:v>2026-09-17T00:00:00.000Z</x:v>
      </x:c>
      <x:c r="C79" s="19" t="str">
        <x:v>Microsoft Corporation</x:v>
      </x:c>
      <x:c r="D79" s="43" t="str">
        <x:v>Datacenter energy and water efficiency metrics</x:v>
      </x:c>
      <x:c r="E79" s="43" t="str">
        <x:v>issuer_datacenter_efficiency_page</x:v>
      </x:c>
      <x:c r="F79" s="43" t="str">
        <x:v>https://datacenters.microsoft.com/sustainability/efficiency/</x:v>
      </x:c>
      <x:c r="G79" s="43" t="str">
        <x:v>microsoft_azure; effective_mw</x:v>
      </x:c>
      <x:c r="H79" s="43" t="str">
        <x:v>active</x:v>
      </x:c>
      <x:c r="I79" s="43" t="str">
        <x:v>FY2025 PUE 1.17; fully owned and controlled full-year sites only</x:v>
      </x:c>
    </x:row>
    <x:row r="80">
      <x:c r="A80" s="19" t="str">
        <x:v>SRC-MSFT-ENV-DATA-FY25</x:v>
      </x:c>
      <x:c r="B80" s="45" t="d">
        <x:v>2026-07-14T00:00:00.000Z</x:v>
      </x:c>
      <x:c r="C80" s="19" t="str">
        <x:v>Microsoft Corporation</x:v>
      </x:c>
      <x:c r="D80" s="43" t="str">
        <x:v>2026 Environmental Data Fact Sheet</x:v>
      </x:c>
      <x:c r="E80" s="43" t="str">
        <x:v>environmental_data_fact_sheet</x:v>
      </x:c>
      <x:c r="F80" s="43" t="str">
        <x:v>https://cdn-dynmedia-1.microsoft.com/is/content/microsoftcorp/microsoft/msc/documents/presentations/CSR/2026-Microsoft-Environmental-Data-Fact-Sheet-PDF.pdf</x:v>
      </x:c>
      <x:c r="G80" s="43" t="str">
        <x:v>microsoft_azure; effective_mw</x:v>
      </x:c>
      <x:c r="H80" s="43" t="str">
        <x:v>active</x:v>
      </x:c>
      <x:c r="I80" s="43" t="str">
        <x:v>PDF pp.25-26 Table 15; 15,931,489 MWh listed facility electricity</x:v>
      </x:c>
    </x:row>
    <x:row r="81">
      <x:c r="A81" s="19" t="str">
        <x:v>SRC-MSFT-OPENAI-20251028</x:v>
      </x:c>
      <x:c r="B81" s="45" t="d">
        <x:v>2025-10-28T00:00:00.000Z</x:v>
      </x:c>
      <x:c r="C81" s="19" t="str">
        <x:v>Microsoft Corporation</x:v>
      </x:c>
      <x:c r="D81" s="43" t="str">
        <x:v>The next chapter of the Microsoft-OpenAI partnership</x:v>
      </x:c>
      <x:c r="E81" s="43" t="str">
        <x:v>issuer_partnership_announcement</x:v>
      </x:c>
      <x:c r="F81" s="43" t="str">
        <x:v>https://blogs.microsoft.com/blog/2025/10/28/the-next-chapter-of-the-microsoft-openai-partnership/</x:v>
      </x:c>
      <x:c r="G81" s="43" t="str">
        <x:v>microsoft_azure; contract_economics; open_vs_proprietary</x:v>
      </x:c>
      <x:c r="H81" s="43" t="str">
        <x:v>active</x:v>
      </x:c>
      <x:c r="I81" s="43" t="str">
        <x:v>$250B incremental Azure commitment and partnership terms</x:v>
      </x:c>
    </x:row>
    <x:row r="82">
      <x:c r="A82" s="19" t="str">
        <x:v>SRC-MSFT-OPENAI-20260427</x:v>
      </x:c>
      <x:c r="B82" s="45" t="d">
        <x:v>2026-04-27T00:00:00.000Z</x:v>
      </x:c>
      <x:c r="C82" s="19" t="str">
        <x:v>Microsoft Corporation</x:v>
      </x:c>
      <x:c r="D82" s="43" t="str">
        <x:v>The next phase of the Microsoft-OpenAI partnership</x:v>
      </x:c>
      <x:c r="E82" s="43" t="str">
        <x:v>issuer_partnership_amendment</x:v>
      </x:c>
      <x:c r="F82" s="43" t="str">
        <x:v>https://blogs.microsoft.com/blog/2026/04/27/the-next-phase-of-the-microsoft-openai-partnership/</x:v>
      </x:c>
      <x:c r="G82" s="43" t="str">
        <x:v>microsoft_azure; contract_economics; open_vs_proprietary</x:v>
      </x:c>
      <x:c r="H82" s="43" t="str">
        <x:v>active</x:v>
      </x:c>
      <x:c r="I82" s="43" t="str">
        <x:v>Primary cloud multi-cloud revenue-share and IP terms amended</x:v>
      </x:c>
    </x:row>
    <x:row r="83">
      <x:c r="A83" s="19" t="str">
        <x:v>SRC-MSFT-POWER-20240920</x:v>
      </x:c>
      <x:c r="B83" s="45" t="d">
        <x:v>2024-09-20T00:00:00.000Z</x:v>
      </x:c>
      <x:c r="C83" s="19" t="str">
        <x:v>Microsoft Corporation</x:v>
      </x:c>
      <x:c r="D83" s="43" t="str">
        <x:v>Accelerating the addition of carbon-free energy</x:v>
      </x:c>
      <x:c r="E83" s="43" t="str">
        <x:v>issuer_power_procurement_update</x:v>
      </x:c>
      <x:c r="F83" s="43" t="str">
        <x:v>https://www.microsoft.com/en-us/microsoft-cloud/blog/2024/09/20/accelerating-the-addition-of-carbon-free-energy-an-update-on-progress/</x:v>
      </x:c>
      <x:c r="G83" s="43" t="str">
        <x:v>microsoft_azure; contract_economics; power_to_silicon</x:v>
      </x:c>
      <x:c r="H83" s="43" t="str">
        <x:v>active</x:v>
      </x:c>
      <x:c r="I83" s="43" t="str">
        <x:v>Constellation, Brookfield and Powerex arrangements; generation MW kept separate from IT MW</x:v>
      </x:c>
    </x:row>
    <x:row r="84">
      <x:c r="A84" s="19" t="str">
        <x:v>SRC-CEG-MSFT-PPA-20240920</x:v>
      </x:c>
      <x:c r="B84" s="45" t="d">
        <x:v>2024-09-20T00:00:00.000Z</x:v>
      </x:c>
      <x:c r="C84" s="19" t="str">
        <x:v>Constellation Energy</x:v>
      </x:c>
      <x:c r="D84" s="43" t="str">
        <x:v>Constellation to launch Crane Clean Energy Center</x:v>
      </x:c>
      <x:c r="E84" s="43" t="str">
        <x:v>counterparty_PPA_announcement</x:v>
      </x:c>
      <x:c r="F84" s="43" t="str">
        <x:v>https://www.constellationenergy.com/news/2024/Constellation-to-Launch-Crane-Clean-Energy-Center-Restoring-Jobs-and-Carbon-Free-Power-to-The-Grid.html</x:v>
      </x:c>
      <x:c r="G84" s="43" t="str">
        <x:v>microsoft_azure; contract_economics; power_to_silicon</x:v>
      </x:c>
      <x:c r="H84" s="43" t="str">
        <x:v>active</x:v>
      </x:c>
      <x:c r="I84" s="43" t="str">
        <x:v>20-year PPA; approximately 835 MW to grid; expected online 2028; price undisclosed</x:v>
      </x:c>
    </x:row>
    <x:row r="85">
      <x:c r="A85" s="19" t="str">
        <x:v>SRC-AMZN-10K-FY25</x:v>
      </x:c>
      <x:c r="B85" s="45" t="d">
        <x:v>2026-02-06T00:00:00.000Z</x:v>
      </x:c>
      <x:c r="C85" s="19" t="str">
        <x:v>Amazon / SEC</x:v>
      </x:c>
      <x:c r="D85" s="43" t="str">
        <x:v>FY2025 Form 10-K</x:v>
      </x:c>
      <x:c r="E85" s="43" t="str">
        <x:v>10-K</x:v>
      </x:c>
      <x:c r="F85" s="43" t="str">
        <x:v>https://www.sec.gov/Archives/edgar/data/1018724/000101872426000004/amzn-20251231.htm</x:v>
      </x:c>
      <x:c r="G85" s="43" t="str">
        <x:v>amazon_aws;revenue_per_mw;contract_economics</x:v>
      </x:c>
      <x:c r="H85" s="43" t="str">
        <x:v>primary_read</x:v>
      </x:c>
      <x:c r="I85" s="43" t="str">
        <x:v>Note 1 pp.41,47: estimates and property/equipment lives; Note 2 investments; Note 10 segment tables. Period: 2025-01-01/2025-12-31. Publication: 2026-02-06.</x:v>
      </x:c>
    </x:row>
    <x:row r="86">
      <x:c r="A86" s="19" t="str">
        <x:v>SRC-AMZN-10Q-Q2FY26</x:v>
      </x:c>
      <x:c r="B86" s="45" t="d">
        <x:v>2026-07-31T00:00:00.000Z</x:v>
      </x:c>
      <x:c r="C86" s="19" t="str">
        <x:v>Amazon / SEC</x:v>
      </x:c>
      <x:c r="D86" s="43" t="str">
        <x:v>Q2 2026 Form 10-Q</x:v>
      </x:c>
      <x:c r="E86" s="43" t="str">
        <x:v>10-Q</x:v>
      </x:c>
      <x:c r="F86" s="43" t="str">
        <x:v>https://www.sec.gov/Archives/edgar/data/1018724/000101872426000026/amzn-20260630.htm</x:v>
      </x:c>
      <x:c r="G86" s="43" t="str">
        <x:v>amazon_aws;revenue_per_mw;contract_economics</x:v>
      </x:c>
      <x:c r="H86" s="43" t="str">
        <x:v>primary_read</x:v>
      </x:c>
      <x:c r="I86" s="43" t="str">
        <x:v>Note 1 pp.8-10 energy derivatives/unearned revenue; Note 2 pp.11-13 investments/VIE; Note 3 pp.13-14; Note 4 p.15 commitments; Note 5 pp.17-18 debt; Note 8 p.23 segment results; MD&amp;A p.30 pricing; Item 6 p.51 exhibits. Period: 2026-04-01/2026-06-30; H1 and subsequent events. Publication: 2026-07-31.</x:v>
      </x:c>
    </x:row>
    <x:row r="87">
      <x:c r="A87" s="19" t="str">
        <x:v>SRC-AMZN-Q2FY26-ER</x:v>
      </x:c>
      <x:c r="B87" s="45" t="d">
        <x:v>2026-07-30T00:00:00.000Z</x:v>
      </x:c>
      <x:c r="C87" s="19" t="str">
        <x:v>Amazon</x:v>
      </x:c>
      <x:c r="D87" s="43" t="str">
        <x:v>Q2 2026 earnings release</x:v>
      </x:c>
      <x:c r="E87" s="43" t="str">
        <x:v>earnings_release</x:v>
      </x:c>
      <x:c r="F87" s="43" t="str">
        <x:v>https://ir.aboutamazon.com/news-release/news-release-details/2026/Amazon-com-Announces-Second-Quarter-Results/default.aspx</x:v>
      </x:c>
      <x:c r="G87" s="43" t="str">
        <x:v>amazon_aws;revenue_per_mw;contract_economics</x:v>
      </x:c>
      <x:c r="H87" s="43" t="str">
        <x:v>primary_read</x:v>
      </x:c>
      <x:c r="I87" s="43" t="str">
        <x:v>Opening results; Jassy quotation; AI/chips highlights; cash-flow tables. Period: Q2 2026. Publication: 2026-07-30.</x:v>
      </x:c>
    </x:row>
    <x:row r="88">
      <x:c r="A88" s="19" t="str">
        <x:v>SRC-AMZN-Q2FY26-REMARKS</x:v>
      </x:c>
      <x:c r="B88" s="45"/>
      <x:c r="C88" s="19" t="str">
        <x:v>Amazon</x:v>
      </x:c>
      <x:c r="D88" s="43" t="str">
        <x:v>CEO Q2 earnings remarks excerpt</x:v>
      </x:c>
      <x:c r="E88" s="43" t="str">
        <x:v>issuer_earnings_remarks</x:v>
      </x:c>
      <x:c r="F88" s="43" t="str">
        <x:v>https://www.aboutamazon.com/news/company-news/amazon-ceo-andy-jassy-aws-revenue-growth-q2-2026-earnings</x:v>
      </x:c>
      <x:c r="G88" s="43" t="str">
        <x:v>amazon_aws;revenue_per_mw;contract_economics</x:v>
      </x:c>
      <x:c r="H88" s="43" t="str">
        <x:v>primary_read</x:v>
      </x:c>
      <x:c r="I88" s="43" t="str">
        <x:v>Opening AWS, Chips and AI run-rate paragraphs; core-services and model-training discussion. Period: Q2 2026. Publication: not verified.</x:v>
      </x:c>
    </x:row>
    <x:row r="89">
      <x:c r="A89" s="19" t="str">
        <x:v>SRC-AWS-PUE-FY25</x:v>
      </x:c>
      <x:c r="B89" s="45"/>
      <x:c r="C89" s="19" t="str">
        <x:v>Amazon</x:v>
      </x:c>
      <x:c r="D89" s="43" t="str">
        <x:v>AWS 2025 Sustainability Summary</x:v>
      </x:c>
      <x:c r="E89" s="43" t="str">
        <x:v>sustainability_report</x:v>
      </x:c>
      <x:c r="F89" s="43" t="str">
        <x:v>https://sustainability.aboutamazon.com/2025-aws-summary.pdf</x:v>
      </x:c>
      <x:c r="G89" s="43" t="str">
        <x:v>amazon_aws;revenue_per_mw;contract_economics</x:v>
      </x:c>
      <x:c r="H89" s="43" t="str">
        <x:v>primary_read</x:v>
      </x:c>
      <x:c r="I89" s="43" t="str">
        <x:v>p.6 Climate and Energy PUE; p.15 endnote 2. Period: 2025-01-01/2025-12-31. Publication: not verified.</x:v>
      </x:c>
    </x:row>
    <x:row r="90">
      <x:c r="A90" s="19" t="str">
        <x:v>SRC-AWS-PUE-REGIONS</x:v>
      </x:c>
      <x:c r="B90" s="45"/>
      <x:c r="C90" s="19" t="str">
        <x:v>Amazon</x:v>
      </x:c>
      <x:c r="D90" s="43" t="str">
        <x:v>AWS regional PUE and WUE table</x:v>
      </x:c>
      <x:c r="E90" s="43" t="str">
        <x:v>issuer_energy_disclosure</x:v>
      </x:c>
      <x:c r="F90" s="43" t="str">
        <x:v>https://sustainability.aboutamazon.com/products-services/aws-cloud</x:v>
      </x:c>
      <x:c r="G90" s="43" t="str">
        <x:v>amazon_aws;revenue_per_mw;contract_economics</x:v>
      </x:c>
      <x:c r="H90" s="43" t="str">
        <x:v>primary_read</x:v>
      </x:c>
      <x:c r="I90" s="43" t="str">
        <x:v>Power usage effectiveness; coverage paragraph; AWS PUE and WUE and AWS Region PUE and WUE tables. Period: Calendar 2025 and historical comparisons. Publication: not verified.</x:v>
      </x:c>
    </x:row>
    <x:row r="91">
      <x:c r="A91" s="19" t="str">
        <x:v>SRC-AWS-PUE-METHOD</x:v>
      </x:c>
      <x:c r="B91" s="45" t="d">
        <x:v>2024-12-03T00:00:00.000Z</x:v>
      </x:c>
      <x:c r="C91" s="19" t="str">
        <x:v>Amazon</x:v>
      </x:c>
      <x:c r="D91" s="43" t="str">
        <x:v>AWS PUE methodology</x:v>
      </x:c>
      <x:c r="E91" s="43" t="str">
        <x:v>methodology</x:v>
      </x:c>
      <x:c r="F91" s="43" t="str">
        <x:v>https://sustainability.aboutamazon.com/pue-methodology.pdf</x:v>
      </x:c>
      <x:c r="G91" s="43" t="str">
        <x:v>amazon_aws;revenue_per_mw;contract_economics</x:v>
      </x:c>
      <x:c r="H91" s="43" t="str">
        <x:v>primary_read</x:v>
      </x:c>
      <x:c r="I91" s="43" t="str">
        <x:v>p.2 ratio definition, intermediate metering, one-minute measurement and trailing-twelve-month reporting. Period: Methodology updated 2024-12-03. Publication: 2024-12-03.</x:v>
      </x:c>
    </x:row>
    <x:row r="92">
      <x:c r="A92" s="19" t="str">
        <x:v>SRC-AMZN-ANTHROPIC-20260420</x:v>
      </x:c>
      <x:c r="B92" s="45" t="d">
        <x:v>2026-04-20T00:00:00.000Z</x:v>
      </x:c>
      <x:c r="C92" s="19" t="str">
        <x:v>Amazon</x:v>
      </x:c>
      <x:c r="D92" s="43" t="str">
        <x:v>Expanded Anthropic strategic collaboration</x:v>
      </x:c>
      <x:c r="E92" s="43" t="str">
        <x:v>issuer_deal_announcement</x:v>
      </x:c>
      <x:c r="F92" s="43" t="str">
        <x:v>https://www.aboutamazon.com/news/company-news/amazon-invests-additional-5-billion-anthropic-ai</x:v>
      </x:c>
      <x:c r="G92" s="43" t="str">
        <x:v>amazon_aws;revenue_per_mw;contract_economics</x:v>
      </x:c>
      <x:c r="H92" s="43" t="str">
        <x:v>primary_read</x:v>
      </x:c>
      <x:c r="I92" s="43" t="str">
        <x:v>Opening commitment/capacity paragraphs; investment milestone paragraph; Trainium2/3/4 and Graviton scope. Period: Agreement announced 2026-04-20. Publication: 2026-04-20.</x:v>
      </x:c>
    </x:row>
    <x:row r="93">
      <x:c r="A93" s="19" t="str">
        <x:v>SRC-ANTHROPIC-AWS-20260420</x:v>
      </x:c>
      <x:c r="B93" s="45" t="d">
        <x:v>2026-04-20T00:00:00.000Z</x:v>
      </x:c>
      <x:c r="C93" s="19" t="str">
        <x:v>Anthropic</x:v>
      </x:c>
      <x:c r="D93" s="43" t="str">
        <x:v>Up to 5 GW expanded Amazon collaboration</x:v>
      </x:c>
      <x:c r="E93" s="43" t="str">
        <x:v>counterparty_deal_announcement</x:v>
      </x:c>
      <x:c r="F93" s="43" t="str">
        <x:v>https://www.anthropic.com/news/anthropic-amazon-compute</x:v>
      </x:c>
      <x:c r="G93" s="43" t="str">
        <x:v>amazon_aws;revenue_per_mw;contract_economics</x:v>
      </x:c>
      <x:c r="H93" s="43" t="str">
        <x:v>primary_read</x:v>
      </x:c>
      <x:c r="I93" s="43" t="str">
        <x:v>Opening capacity paragraph; Infrastructure at scale; Meeting record demand; timing to year-end 2026. Period: Announced 2026-04-20; clarified 2026-04-21. Publication: 2026-04-20.</x:v>
      </x:c>
    </x:row>
    <x:row r="94">
      <x:c r="A94" s="19" t="str">
        <x:v>SRC-AMZN-OPENAI-20260227</x:v>
      </x:c>
      <x:c r="B94" s="45" t="d">
        <x:v>2026-02-27T00:00:00.000Z</x:v>
      </x:c>
      <x:c r="C94" s="19" t="str">
        <x:v>Amazon / OpenAI</x:v>
      </x:c>
      <x:c r="D94" s="43" t="str">
        <x:v>OpenAI and Amazon strategic partnership</x:v>
      </x:c>
      <x:c r="E94" s="43" t="str">
        <x:v>issuer_deal_announcement</x:v>
      </x:c>
      <x:c r="F94" s="43" t="str">
        <x:v>https://press.aboutamazon.com/2026/2/openai-and-amazon-announce-strategic-partnership</x:v>
      </x:c>
      <x:c r="G94" s="43" t="str">
        <x:v>amazon_aws;revenue_per_mw;contract_economics</x:v>
      </x:c>
      <x:c r="H94" s="43" t="str">
        <x:v>primary_read</x:v>
      </x:c>
      <x:c r="I94" s="43" t="str">
        <x:v>Opening investment paragraph; OpenAI to use Trainium compute section. Period: 8-year expansion; Trainium4 expected 2027. Publication: 2026-02-27.</x:v>
      </x:c>
    </x:row>
    <x:row r="95">
      <x:c r="A95" s="19" t="str">
        <x:v>SRC-AMZN-TERMLOAN-20260610</x:v>
      </x:c>
      <x:c r="B95" s="45" t="d">
        <x:v>2026-06-10T00:00:00.000Z</x:v>
      </x:c>
      <x:c r="C95" s="19" t="str">
        <x:v>Amazon / SEC</x:v>
      </x:c>
      <x:c r="D95" s="43" t="str">
        <x:v>June 8 term loan agreement</x:v>
      </x:c>
      <x:c r="E95" s="43" t="str">
        <x:v>8-K_Exhibit_10.1</x:v>
      </x:c>
      <x:c r="F95" s="43" t="str">
        <x:v>https://www.sec.gov/Archives/edgar/data/1018724/000110465926072140/tm2613616d4_ex10-1.htm</x:v>
      </x:c>
      <x:c r="G95" s="43" t="str">
        <x:v>amazon_aws;revenue_per_mw;contract_economics</x:v>
      </x:c>
      <x:c r="H95" s="43" t="str">
        <x:v>primary_read</x:v>
      </x:c>
      <x:c r="I95" s="43" t="str">
        <x:v>Section 1.01 Applicable Rate p.2 and Commitment Termination Date p.7; Article II loans. Period: Agreement 2026-06-08; draw deadline 2026-09-30. Publication: 2026-06-10.</x:v>
      </x:c>
    </x:row>
    <x:row r="96">
      <x:c r="A96" s="19" t="str">
        <x:v>SRC-AMZN-REVOLVER364-20260731</x:v>
      </x:c>
      <x:c r="B96" s="45" t="d">
        <x:v>2026-07-31T00:00:00.000Z</x:v>
      </x:c>
      <x:c r="C96" s="19" t="str">
        <x:v>Amazon / SEC</x:v>
      </x:c>
      <x:c r="D96" s="43" t="str">
        <x:v>364-day credit agreement amendment</x:v>
      </x:c>
      <x:c r="E96" s="43" t="str">
        <x:v>10-Q_Exhibit_10.2</x:v>
      </x:c>
      <x:c r="F96" s="43" t="str">
        <x:v>https://www.sec.gov/Archives/edgar/data/1018724/000101872426000026/amzn-20260630xex102.htm</x:v>
      </x:c>
      <x:c r="G96" s="43" t="str">
        <x:v>amazon_aws;revenue_per_mw;contract_economics</x:v>
      </x:c>
      <x:c r="H96" s="43" t="str">
        <x:v>primary_read</x:v>
      </x:c>
      <x:c r="I96" s="43" t="str">
        <x:v>First Amendment sections 1-3 and Exhibit A. Period: Amendment 2026-06-08. Publication: 2026-07-31.</x:v>
      </x:c>
    </x:row>
    <x:row r="97">
      <x:c r="A97" s="19" t="str">
        <x:v>SRC-AMZN-REVOLVER5Y-20260731</x:v>
      </x:c>
      <x:c r="B97" s="45" t="d">
        <x:v>2026-07-31T00:00:00.000Z</x:v>
      </x:c>
      <x:c r="C97" s="19" t="str">
        <x:v>Amazon / SEC</x:v>
      </x:c>
      <x:c r="D97" s="43" t="str">
        <x:v>Five-year credit agreement amendment</x:v>
      </x:c>
      <x:c r="E97" s="43" t="str">
        <x:v>10-Q_Exhibit_10.3</x:v>
      </x:c>
      <x:c r="F97" s="43" t="str">
        <x:v>https://www.sec.gov/Archives/edgar/data/1018724/000101872426000026/amzn-20260630xex103.htm</x:v>
      </x:c>
      <x:c r="G97" s="43" t="str">
        <x:v>amazon_aws;revenue_per_mw;contract_economics</x:v>
      </x:c>
      <x:c r="H97" s="43" t="str">
        <x:v>primary_read</x:v>
      </x:c>
      <x:c r="I97" s="43" t="str">
        <x:v>First Amendment sections 1-3 and Exhibit A. Period: Amendment 2026-06-08. Publication: 2026-07-31.</x:v>
      </x:c>
    </x:row>
    <x:row r="98">
      <x:c r="A98" s="19" t="str">
        <x:v>SRC-TALEN-AWS-PPA-20250611</x:v>
      </x:c>
      <x:c r="B98" s="45" t="d">
        <x:v>2025-06-11T00:00:00.000Z</x:v>
      </x:c>
      <x:c r="C98" s="19" t="str">
        <x:v>Talen / SEC</x:v>
      </x:c>
      <x:c r="D98" s="43" t="str">
        <x:v>Expanded Susquehanna AWS PPA</x:v>
      </x:c>
      <x:c r="E98" s="43" t="str">
        <x:v>8-K_Exhibit_99.1</x:v>
      </x:c>
      <x:c r="F98" s="43" t="str">
        <x:v>https://www.sec.gov/Archives/edgar/data/1622536/000162828025030559/a20250611pressreleasebusin.htm</x:v>
      </x:c>
      <x:c r="G98" s="43" t="str">
        <x:v>amazon_aws;revenue_per_mw;contract_economics</x:v>
      </x:c>
      <x:c r="H98" s="43" t="str">
        <x:v>primary_read</x:v>
      </x:c>
      <x:c r="I98" s="43" t="str">
        <x:v>Opening capacity/term/ramp paragraphs; front-of-meter transition paragraph. Period: Announced 2025-06-11; through 2042. Publication: 2025-06-11.</x:v>
      </x:c>
    </x:row>
    <x:row r="99">
      <x:c r="A99" s="19" t="str">
        <x:v>SRC-AMZN-FILING-INDEX-20260919</x:v>
      </x:c>
      <x:c r="B99" s="45"/>
      <x:c r="C99" s="19" t="str">
        <x:v>SEC</x:v>
      </x:c>
      <x:c r="D99" s="43" t="str">
        <x:v>Amazon filing index freshness check</x:v>
      </x:c>
      <x:c r="E99" s="43" t="str">
        <x:v>filing_index</x:v>
      </x:c>
      <x:c r="F99" s="43" t="str">
        <x:v>https://www.sec.gov/edgar/browse/?CIK=1018724</x:v>
      </x:c>
      <x:c r="G99" s="43" t="str">
        <x:v>amazon_aws;revenue_per_mw;contract_economics</x:v>
      </x:c>
      <x:c r="H99" s="43" t="str">
        <x:v>index_checked</x:v>
      </x:c>
      <x:c r="I99" s="43" t="str">
        <x:v>Search-index rendered selected filings: latest annual February 6; quarterly July 31; September 9 items. Period: As checked 2026-09-19. Publication: not verified.</x:v>
      </x:c>
    </x:row>
    <x:row r="100">
      <x:c r="A100" s="19" t="str">
        <x:v>SRC-GOOG-10K-FY25</x:v>
      </x:c>
      <x:c r="B100" s="45" t="d">
        <x:v>2026-02-05T00:00:00.000Z</x:v>
      </x:c>
      <x:c r="C100" s="19" t="str">
        <x:v>Alphabet Inc. / SEC</x:v>
      </x:c>
      <x:c r="D100" s="43" t="str">
        <x:v>FY2025 Form 10-K</x:v>
      </x:c>
      <x:c r="E100" s="43" t="str">
        <x:v>10-K</x:v>
      </x:c>
      <x:c r="F100" s="43" t="str">
        <x:v>https://www.sec.gov/Archives/edgar/data/1652044/000165204426000018/goog-20251231.htm</x:v>
      </x:c>
      <x:c r="G100" s="43" t="str">
        <x:v>alphabet_gcp;revenue_per_mw;contract_economics;capex</x:v>
      </x:c>
      <x:c r="H100" s="43" t="str">
        <x:v>primary_read</x:v>
      </x:c>
      <x:c r="I100" s="43" t="str">
        <x:v>Item 7 pp.28-40; revenue backlog p.56; commitments pp.37-39; Note 15 pp.86-88. Period FY2025.</x:v>
      </x:c>
    </x:row>
    <x:row r="101">
      <x:c r="A101" s="19" t="str">
        <x:v>SRC-GOOG-10Q-Q2FY26</x:v>
      </x:c>
      <x:c r="B101" s="45" t="d">
        <x:v>2026-07-23T00:00:00.000Z</x:v>
      </x:c>
      <x:c r="C101" s="19" t="str">
        <x:v>Alphabet Inc. / SEC</x:v>
      </x:c>
      <x:c r="D101" s="43" t="str">
        <x:v>Q2 2026 Form 10-Q</x:v>
      </x:c>
      <x:c r="E101" s="43" t="str">
        <x:v>10-Q</x:v>
      </x:c>
      <x:c r="F101" s="43" t="str">
        <x:v>https://www.sec.gov/Archives/edgar/data/1652044/000165204426000071/goog-20260630.htm</x:v>
      </x:c>
      <x:c r="G101" s="43" t="str">
        <x:v>alphabet_gcp;revenue_per_mw;contract_economics;capex</x:v>
      </x:c>
      <x:c r="H101" s="43" t="str">
        <x:v>primary_read</x:v>
      </x:c>
      <x:c r="I101" s="43" t="str">
        <x:v>Notes 2, 4-6, 8, 10 and 15; MD&amp;A pp.43-54. Period Q2/H1 2026.</x:v>
      </x:c>
    </x:row>
    <x:row r="102">
      <x:c r="A102" s="19" t="str">
        <x:v>SRC-GOOG-Q2FY26-ER</x:v>
      </x:c>
      <x:c r="B102" s="45" t="d">
        <x:v>2026-07-22T00:00:00.000Z</x:v>
      </x:c>
      <x:c r="C102" s="19" t="str">
        <x:v>Alphabet Inc. / SEC</x:v>
      </x:c>
      <x:c r="D102" s="43" t="str">
        <x:v>Alphabet Announces Second Quarter 2026 Results</x:v>
      </x:c>
      <x:c r="E102" s="43" t="str">
        <x:v>8-K_Exhibit_99.1</x:v>
      </x:c>
      <x:c r="F102" s="43" t="str">
        <x:v>https://www.sec.gov/Archives/edgar/data/1652044/000165204426000066/googexhibit991q22026.htm</x:v>
      </x:c>
      <x:c r="G102" s="43" t="str">
        <x:v>alphabet_gcp;revenue_per_mw;capex</x:v>
      </x:c>
      <x:c r="H102" s="43" t="str">
        <x:v>primary_read</x:v>
      </x:c>
      <x:c r="I102" s="43" t="str">
        <x:v>Operating highlights; segment and cash-flow tables</x:v>
      </x:c>
    </x:row>
    <x:row r="103">
      <x:c r="A103" s="19" t="str">
        <x:v>SRC-GOOG-Q2FY26-CALL</x:v>
      </x:c>
      <x:c r="B103" s="45" t="d">
        <x:v>2026-07-22T00:00:00.000Z</x:v>
      </x:c>
      <x:c r="C103" s="19" t="str">
        <x:v>Alphabet Inc.</x:v>
      </x:c>
      <x:c r="D103" s="43" t="str">
        <x:v>Q2 2026 earnings call transcript</x:v>
      </x:c>
      <x:c r="E103" s="43" t="str">
        <x:v>issuer_earnings_call_transcript</x:v>
      </x:c>
      <x:c r="F103" s="43" t="str">
        <x:v>https://abc.xyz/investor/events/event-details/2026/2026-Q2-Earnings-Call-2026-GgTAq7Is0z/default.aspx</x:v>
      </x:c>
      <x:c r="G103" s="43" t="str">
        <x:v>alphabet_gcp;revenue_per_mw;contract_economics;capex</x:v>
      </x:c>
      <x:c r="H103" s="43" t="str">
        <x:v>primary_read</x:v>
      </x:c>
      <x:c r="I103" s="43" t="str">
        <x:v>Cloud, backlog, TPU system sales, third-party capacity, capex, energy and capital structure</x:v>
      </x:c>
    </x:row>
    <x:row r="104">
      <x:c r="A104" s="19" t="str">
        <x:v>SRC-GOOG-PUE-Q2FY26</x:v>
      </x:c>
      <x:c r="B104" s="45"/>
      <x:c r="C104" s="19" t="str">
        <x:v>Google</x:v>
      </x:c>
      <x:c r="D104" s="43" t="str">
        <x:v>Power usage effectiveness</x:v>
      </x:c>
      <x:c r="E104" s="43" t="str">
        <x:v>issuer_datacenter_efficiency_page</x:v>
      </x:c>
      <x:c r="F104" s="43" t="str">
        <x:v>https://datacenters.google/efficiency/</x:v>
      </x:c>
      <x:c r="G104" s="43" t="str">
        <x:v>alphabet_gcp;revenue_per_mw;effective_mw</x:v>
      </x:c>
      <x:c r="H104" s="43" t="str">
        <x:v>primary_read</x:v>
      </x:c>
      <x:c r="I104" s="43" t="str">
        <x:v>Q2 2026 quarterly fleet PUE 1.10 and TTM PUE 1.09; dynamic publication date not shown</x:v>
      </x:c>
    </x:row>
    <x:row r="105">
      <x:c r="A105" s="19" t="str">
        <x:v>SRC-GOOG-TPU-PRICING-20260920</x:v>
      </x:c>
      <x:c r="B105" s="45"/>
      <x:c r="C105" s="19" t="str">
        <x:v>Google Cloud</x:v>
      </x:c>
      <x:c r="D105" s="43" t="str">
        <x:v>Cloud TPU pricing</x:v>
      </x:c>
      <x:c r="E105" s="43" t="str">
        <x:v>issuer_pricing_page</x:v>
      </x:c>
      <x:c r="F105" s="43" t="str">
        <x:v>https://cloud.google.com/tpu/pricing</x:v>
      </x:c>
      <x:c r="G105" s="43" t="str">
        <x:v>alphabet_gcp;revenue_per_mw;contract_economics</x:v>
      </x:c>
      <x:c r="H105" s="43" t="str">
        <x:v>primary_read</x:v>
      </x:c>
      <x:c r="I105" s="43" t="str">
        <x:v>Ironwood and Trillium per-chip-hour list prices as retrieved 2026-09-20; realized price and system power missing</x:v>
      </x:c>
    </x:row>
    <x:row r="106">
      <x:c r="A106" s="19" t="str">
        <x:v>SRC-GOOG-TPU7X-20260920</x:v>
      </x:c>
      <x:c r="B106" s="45"/>
      <x:c r="C106" s="19" t="str">
        <x:v>Google Cloud</x:v>
      </x:c>
      <x:c r="D106" s="43" t="str">
        <x:v>TPU7x Ironwood architecture</x:v>
      </x:c>
      <x:c r="E106" s="43" t="str">
        <x:v>issuer_technical_documentation</x:v>
      </x:c>
      <x:c r="F106" s="43" t="str">
        <x:v>https://docs.cloud.google.com/tpu/docs/tpu7x</x:v>
      </x:c>
      <x:c r="G106" s="43" t="str">
        <x:v>alphabet_gcp;revenue_per_mw;power_to_silicon</x:v>
      </x:c>
      <x:c r="H106" s="43" t="str">
        <x:v>primary_read</x:v>
      </x:c>
      <x:c r="I106" s="43" t="str">
        <x:v>9,216-chip pod and four-chip VM architecture; full-system electrical power not disclosed</x:v>
      </x:c>
    </x:row>
    <x:row r="107">
      <x:c r="A107" s="19" t="str">
        <x:v>SRC-BX-GOOG-TPUJV-20260518</x:v>
      </x:c>
      <x:c r="B107" s="45" t="d">
        <x:v>2026-05-18T00:00:00.000Z</x:v>
      </x:c>
      <x:c r="C107" s="19" t="str">
        <x:v>Blackstone</x:v>
      </x:c>
      <x:c r="D107" s="43" t="str">
        <x:v>Blackstone Announces Joint Venture with Google to Create New TPU Cloud</x:v>
      </x:c>
      <x:c r="E107" s="43" t="str">
        <x:v>counterparty_deal_announcement</x:v>
      </x:c>
      <x:c r="F107" s="43" t="str">
        <x:v>https://www.blackstone.com/news/press/blackstone-announces-joint-venture-with-google-to-create-new-tpu-cloud/</x:v>
      </x:c>
      <x:c r="G107" s="43" t="str">
        <x:v>alphabet_gcp;revenue_per_mw;contract_economics;capex</x:v>
      </x:c>
      <x:c r="H107" s="43" t="str">
        <x:v>primary_read</x:v>
      </x:c>
      <x:c r="I107" s="43" t="str">
        <x:v>$5B initial Blackstone equity commitment; first 500 MW expected 2027; Google supplies TPU hardware/software/services</x:v>
      </x:c>
    </x:row>
    <x:row r="108">
      <x:c r="A108" s="19" t="str">
        <x:v>SRC-SPX-GOOG-COMPUTE-20260605</x:v>
      </x:c>
      <x:c r="B108" s="45" t="d">
        <x:v>2026-06-05T00:00:00.000Z</x:v>
      </x:c>
      <x:c r="C108" s="19" t="str">
        <x:v>SpaceX / SEC</x:v>
      </x:c>
      <x:c r="D108" s="43" t="str">
        <x:v>Google Cloud Service Agreement summary</x:v>
      </x:c>
      <x:c r="E108" s="43" t="str">
        <x:v>free_writing_prospectus</x:v>
      </x:c>
      <x:c r="F108" s="43" t="str">
        <x:v>https://www.sec.gov/Archives/edgar/data/1181412/000162828026041150/spacexagreementfwp.htm</x:v>
      </x:c>
      <x:c r="G108" s="43" t="str">
        <x:v>alphabet_gcp;revenue_per_mw;contract_economics</x:v>
      </x:c>
      <x:c r="H108" s="43" t="str">
        <x:v>primary_read</x:v>
      </x:c>
      <x:c r="I108" s="43" t="str">
        <x:v>$920M monthly for approximately 110000 GPUs plus systems; delivery and termination terms</x:v>
      </x:c>
    </x:row>
    <x:row r="109">
      <x:c r="A109" s="19" t="str">
        <x:v>SRC-GOOG-EQUITY-RAISE-20260604</x:v>
      </x:c>
      <x:c r="B109" s="45" t="d">
        <x:v>2026-06-04T00:00:00.000Z</x:v>
      </x:c>
      <x:c r="C109" s="19" t="str">
        <x:v>Alphabet Inc. / SEC</x:v>
      </x:c>
      <x:c r="D109" s="43" t="str">
        <x:v>AI infrastructure equity capital raise</x:v>
      </x:c>
      <x:c r="E109" s="43" t="str">
        <x:v>8-K_Exhibit_99.1</x:v>
      </x:c>
      <x:c r="F109" s="43" t="str">
        <x:v>https://www.sec.gov/Archives/edgar/data/1652044/000119312526257724/d83560dex991.htm</x:v>
      </x:c>
      <x:c r="G109" s="43" t="str">
        <x:v>alphabet_gcp;contract_economics;capex</x:v>
      </x:c>
      <x:c r="H109" s="43" t="str">
        <x:v>primary_read</x:v>
      </x:c>
      <x:c r="I109" s="43" t="str">
        <x:v>Offering composition and AI infrastructure use of proceeds</x:v>
      </x:c>
    </x:row>
    <x:row r="110">
      <x:c r="A110" s="19" t="str">
        <x:v>SRC-RAMP-AIINDEX-WE20260920</x:v>
      </x:c>
      <x:c r="B110" s="45" t="d">
        <x:v>2026-09-20T00:00:00.000Z</x:v>
      </x:c>
      <x:c r="C110" s="19" t="str">
        <x:v>Ramp Economics Lab</x:v>
      </x:c>
      <x:c r="D110" s="43" t="str">
        <x:v>Ramp AI Index weekly token and spend volumes week ending September 20 2026</x:v>
      </x:c>
      <x:c r="E110" s="43" t="str">
        <x:v>Interactive dashboard capture</x:v>
      </x:c>
      <x:c r="F110" s="43" t="str">
        <x:v>https://ramp.com/data/ai-index</x:v>
      </x:c>
      <x:c r="G110" s="43" t="str">
        <x:v>Weekly model attributed spend provider spend model spend and token volume series availability</x:v>
      </x:c>
      <x:c r="H110" s="43" t="str">
        <x:v>Primary capture</x:v>
      </x:c>
      <x:c r="I110" s="43" t="str">
        <x:v>Exact selected week values captured from Ramp UI screenshot supplied by user on 2026-09-22</x:v>
      </x:c>
    </x:row>
    <x:row r="111">
      <x:c r="A111" s="19" t="str">
        <x:v>SRC-RAMP-AIINDEX-SEP2026</x:v>
      </x:c>
      <x:c r="B111" s="45" t="d">
        <x:v>2026-09-09T00:00:00.000Z</x:v>
      </x:c>
      <x:c r="C111" s="19" t="str">
        <x:v>Ramp Economics Lab</x:v>
      </x:c>
      <x:c r="D111" s="43" t="str">
        <x:v>Cracks in the AI Thesis Part 2</x:v>
      </x:c>
      <x:c r="E111" s="43" t="str">
        <x:v>Web</x:v>
      </x:c>
      <x:c r="F111" s="43" t="str">
        <x:v>https://ramp.com/data/ai-index-sept-2026</x:v>
      </x:c>
      <x:c r="G111" s="43" t="str">
        <x:v>Effective token price price decline business mix and methodology</x:v>
      </x:c>
      <x:c r="H111" s="43" t="str">
        <x:v>Primary</x:v>
      </x:c>
      <x:c r="I111" s="43" t="str">
        <x:v>Ramp reported 0.68 USD per million tokens and a 41 percent decline from the 2026 peak</x:v>
      </x:c>
    </x:row>
    <x:row r="112">
      <x:c r="A112" s="19" t="str">
        <x:v>SRC-META-10K-FY25</x:v>
      </x:c>
      <x:c r="B112" s="45" t="d">
        <x:v>2026-01-29T00:00:00.000Z</x:v>
      </x:c>
      <x:c r="C112" s="19" t="str">
        <x:v>Meta Platforms Inc. / SEC</x:v>
      </x:c>
      <x:c r="D112" s="43" t="str">
        <x:v>FY2025 Form 10-K</x:v>
      </x:c>
      <x:c r="E112" s="43" t="str">
        <x:v>10-K</x:v>
      </x:c>
      <x:c r="F112" s="43" t="str">
        <x:v>https://www.sec.gov/Archives/edgar/data/1326801/000162828026003942/meta-20251231.htm</x:v>
      </x:c>
      <x:c r="G112" s="43" t="str">
        <x:v>meta;revenue_per_mw;contract_economics;capex</x:v>
      </x:c>
      <x:c r="H112" s="43" t="str">
        <x:v>primary_read</x:v>
      </x:c>
      <x:c r="I112" s="43" t="str">
        <x:v>Filing index; MD&amp;A; revenue; leases and contractual commitments</x:v>
      </x:c>
    </x:row>
    <x:row r="113">
      <x:c r="A113" s="19" t="str">
        <x:v>SRC-META-10Q-Q2FY26</x:v>
      </x:c>
      <x:c r="B113" s="45" t="d">
        <x:v>2026-07-30T00:00:00.000Z</x:v>
      </x:c>
      <x:c r="C113" s="19" t="str">
        <x:v>Meta Platforms Inc. / SEC</x:v>
      </x:c>
      <x:c r="D113" s="43" t="str">
        <x:v>Q2 2026 Form 10-Q</x:v>
      </x:c>
      <x:c r="E113" s="43" t="str">
        <x:v>10-Q</x:v>
      </x:c>
      <x:c r="F113" s="43" t="str">
        <x:v>https://www.sec.gov/Archives/edgar/data/1326801/000162828026050705/meta-20260630.htm</x:v>
      </x:c>
      <x:c r="G113" s="43" t="str">
        <x:v>meta;revenue_per_mw;contract_economics;capex</x:v>
      </x:c>
      <x:c r="H113" s="43" t="str">
        <x:v>primary_read</x:v>
      </x:c>
      <x:c r="I113" s="43" t="str">
        <x:v>Revenue, VIEs, property, debt, commitments, subsequent event and MD&amp;A</x:v>
      </x:c>
    </x:row>
    <x:row r="114">
      <x:c r="A114" s="19" t="str">
        <x:v>SRC-META-Q2FY26-ER</x:v>
      </x:c>
      <x:c r="B114" s="45" t="d">
        <x:v>2026-07-29T00:00:00.000Z</x:v>
      </x:c>
      <x:c r="C114" s="19" t="str">
        <x:v>Meta Platforms Inc.</x:v>
      </x:c>
      <x:c r="D114" s="43" t="str">
        <x:v>Meta Reports Second Quarter 2026 Results</x:v>
      </x:c>
      <x:c r="E114" s="43" t="str">
        <x:v>earnings_release</x:v>
      </x:c>
      <x:c r="F114" s="43" t="str">
        <x:v>https://investor.atmeta.com/investor-news/press-release-details/2026/Meta-Reports-Second-Quarter-2026-Results/default.aspx</x:v>
      </x:c>
      <x:c r="G114" s="43" t="str">
        <x:v>meta;revenue_per_mw;capex</x:v>
      </x:c>
      <x:c r="H114" s="43" t="str">
        <x:v>primary_read</x:v>
      </x:c>
      <x:c r="I114" s="43" t="str">
        <x:v>Financial highlights capex cash flow and 2026 capex outlook</x:v>
      </x:c>
    </x:row>
    <x:row r="115">
      <x:c r="A115" s="19" t="str">
        <x:v>SRC-META-Q2FY26-CALL</x:v>
      </x:c>
      <x:c r="B115" s="45" t="d">
        <x:v>2026-07-29T00:00:00.000Z</x:v>
      </x:c>
      <x:c r="C115" s="19" t="str">
        <x:v>Meta Platforms Inc.</x:v>
      </x:c>
      <x:c r="D115" s="43" t="str">
        <x:v>Q2 2026 earnings call transcript</x:v>
      </x:c>
      <x:c r="E115" s="43" t="str">
        <x:v>issuer_earnings_call_transcript</x:v>
      </x:c>
      <x:c r="F115" s="43" t="str">
        <x:v>https://s21.q4cdn.com/399680738/files/doc_financials/2026/q2/META-Q2-2026-Earnings-Call-Transcript.pdf</x:v>
      </x:c>
      <x:c r="G115" s="43" t="str">
        <x:v>meta;revenue_per_mw;contract_economics;capex</x:v>
      </x:c>
      <x:c r="H115" s="43" t="str">
        <x:v>primary_read</x:v>
      </x:c>
      <x:c r="I115" s="43" t="str">
        <x:v>AI monetization claims capacity strategy capex and direct-compute Q&amp;A</x:v>
      </x:c>
    </x:row>
    <x:row r="116">
      <x:c r="A116" s="19" t="str">
        <x:v>SRC-META-Q2FY26-FOLLOWUP</x:v>
      </x:c>
      <x:c r="B116" s="45" t="d">
        <x:v>2026-07-29T00:00:00.000Z</x:v>
      </x:c>
      <x:c r="C116" s="19" t="str">
        <x:v>Meta Platforms Inc.</x:v>
      </x:c>
      <x:c r="D116" s="43" t="str">
        <x:v>Q2 2026 follow-up call transcript</x:v>
      </x:c>
      <x:c r="E116" s="43" t="str">
        <x:v>issuer_follow_up_call_transcript</x:v>
      </x:c>
      <x:c r="F116" s="43" t="str">
        <x:v>https://s21.q4cdn.com/399680738/files/doc_financials/2026/q2/META-Q2-2026-Follow-Up-Call-Transcript.pdf</x:v>
      </x:c>
      <x:c r="G116" s="43" t="str">
        <x:v>meta;revenue_per_mw;contract_economics;capex</x:v>
      </x:c>
      <x:c r="H116" s="43" t="str">
        <x:v>primary_read</x:v>
      </x:c>
      <x:c r="I116" s="43" t="str">
        <x:v>Capacity partnership financing third-party cloud and enterprise monetization</x:v>
      </x:c>
    </x:row>
    <x:row r="117">
      <x:c r="A117" s="19" t="str">
        <x:v>SRC-META-PUE-FY24</x:v>
      </x:c>
      <x:c r="B117" s="45" t="d">
        <x:v>2025-10-01T00:00:00.000Z</x:v>
      </x:c>
      <x:c r="C117" s="19" t="str">
        <x:v>Meta Platforms Inc.</x:v>
      </x:c>
      <x:c r="D117" s="43" t="str">
        <x:v>Meta 2025 Environmental Data Index</x:v>
      </x:c>
      <x:c r="E117" s="43" t="str">
        <x:v>environmental_data_index</x:v>
      </x:c>
      <x:c r="F117" s="43" t="str">
        <x:v>https://sustainability.atmeta.com/wp-content/uploads/2025/10/Meta_2025-Environmental-Data-Index.pdf</x:v>
      </x:c>
      <x:c r="G117" s="43" t="str">
        <x:v>meta;revenue_per_mw;effective_mw</x:v>
      </x:c>
      <x:c r="H117" s="43" t="str">
        <x:v>primary_read</x:v>
      </x:c>
      <x:c r="I117" s="43" t="str">
        <x:v>FY2024 annual fleet PUE 1.08; not a Q2 2026 AI-specific boundary</x:v>
      </x:c>
    </x:row>
    <x:row r="118">
      <x:c r="A118" s="19" t="str">
        <x:v>SRC-META-HYPERION-20251021</x:v>
      </x:c>
      <x:c r="B118" s="45" t="d">
        <x:v>2025-10-21T00:00:00.000Z</x:v>
      </x:c>
      <x:c r="C118" s="19" t="str">
        <x:v>Meta Platforms Inc.</x:v>
      </x:c>
      <x:c r="D118" s="43" t="str">
        <x:v>Meta Announces Joint Venture with Funds Managed by Blue Owl Capital to Develop Hyperion Data Center</x:v>
      </x:c>
      <x:c r="E118" s="43" t="str">
        <x:v>issuer_joint_venture_announcement</x:v>
      </x:c>
      <x:c r="F118" s="43" t="str">
        <x:v>https://investor.atmeta.com/investor-news/press-release-details/2025/Meta-Announces-Joint-Venture-with-Funds-Managed-by-Blue-Owl-Capital-to-Develop-Hyperion-Data-Center/default.aspx</x:v>
      </x:c>
      <x:c r="G118" s="43" t="str">
        <x:v>meta;contract_economics;capex</x:v>
      </x:c>
      <x:c r="H118" s="43" t="str">
        <x:v>primary_read</x:v>
      </x:c>
      <x:c r="I118" s="43" t="str">
        <x:v>Ownership development funding contribution distribution lease and residual-value guarantee</x:v>
      </x:c>
    </x:row>
    <x:row r="119">
      <x:c r="A119" s="19" t="str">
        <x:v>SRC-META-ELPASO-20260728</x:v>
      </x:c>
      <x:c r="B119" s="45" t="d">
        <x:v>2026-07-28T00:00:00.000Z</x:v>
      </x:c>
      <x:c r="C119" s="19" t="str">
        <x:v>Meta Platforms Inc. and BlackRock</x:v>
      </x:c>
      <x:c r="D119" s="43" t="str">
        <x:v>Meta Announces New Strategic Venture with BlackRock to Develop Data Center in El Paso</x:v>
      </x:c>
      <x:c r="E119" s="43" t="str">
        <x:v>issuer_joint_venture_announcement</x:v>
      </x:c>
      <x:c r="F119" s="43" t="str">
        <x:v>https://investor.atmeta.com/investor-news/press-release-details/2026/Meta-Announces-New-Strategic-Venture-with-BlackRock-to-Develop-Data-Center-in-El-Paso/default.aspx</x:v>
      </x:c>
      <x:c r="G119" s="43" t="str">
        <x:v>meta;revenue_per_mw;contract_economics;capex</x:v>
      </x:c>
      <x:c r="H119" s="43" t="str">
        <x:v>primary_read</x:v>
      </x:c>
      <x:c r="I119" s="43" t="str">
        <x:v>1 GW stated compute capacity expected 2028 with venture financing lease and residual-value guarantee</x:v>
      </x:c>
    </x:row>
    <x:row r="120">
      <x:c r="A120" s="19" t="str">
        <x:v>SRC-FT-COMPUTE-FUTURES-20261003</x:v>
      </x:c>
      <x:c r="B120" s="45" t="d">
        <x:v>2026-10-03T00:00:00.000Z</x:v>
      </x:c>
      <x:c r="C120" s="19" t="str">
        <x:v>Financial Times</x:v>
      </x:c>
      <x:c r="D120" s="43" t="str">
        <x:v>The coming futures market in AI compute</x:v>
      </x:c>
      <x:c r="E120" s="43" t="str">
        <x:v>commentary</x:v>
      </x:c>
      <x:c r="F120" s="43" t="str">
        <x:v>https://www.ft.com/content/a1815bc5-b5d5-47ff-bbbc-e1a689929321</x:v>
      </x:c>
      <x:c r="G120" s="43" t="str">
        <x:v>compute_futures;time_to_mw</x:v>
      </x:c>
      <x:c r="H120" s="43" t="str">
        <x:v>secondary_read</x:v>
      </x:c>
      <x:c r="I120" s="43" t="str">
        <x:v>Text retrieved through search; direct page unavailable. Commentary, not proof of a live market or project-default prediction.</x:v>
      </x:c>
    </x:row>
    <x:row r="121">
      <x:c r="A121" s="19" t="str">
        <x:v>SRC-CME-COMPUTE-SPECS-20261004</x:v>
      </x:c>
      <x:c r="B121" s="45"/>
      <x:c r="C121" s="19" t="str">
        <x:v>CME Group</x:v>
      </x:c>
      <x:c r="D121" s="43" t="str">
        <x:v>Compute futures product specifications</x:v>
      </x:c>
      <x:c r="E121" s="43" t="str">
        <x:v>exchange_product_page</x:v>
      </x:c>
      <x:c r="F121" s="43" t="str">
        <x:v>https://www.cmegroup.com/markets/energy/power/compute-futures.html</x:v>
      </x:c>
      <x:c r="G121" s="43" t="str">
        <x:v>compute_futures;contract_economics</x:v>
      </x:c>
      <x:c r="H121" s="43" t="str">
        <x:v>primary_read</x:v>
      </x:c>
      <x:c r="I121" s="43" t="str">
        <x:v>Undated live page observed October 4; planned H100/B200 non-hyperscaler rental benchmarks.</x:v>
      </x:c>
    </x:row>
    <x:row r="122">
      <x:c r="A122" s="19" t="str">
        <x:v>SRC-CME-COMPUTE-REVISED-20261004</x:v>
      </x:c>
      <x:c r="B122" s="45"/>
      <x:c r="C122" s="19" t="str">
        <x:v>CME Group</x:v>
      </x:c>
      <x:c r="D122" s="43" t="str">
        <x:v>Revised clearing advisory 26-274: effective date to be announced</x:v>
      </x:c>
      <x:c r="E122" s="43" t="str">
        <x:v>exchange_clearing_notice</x:v>
      </x:c>
      <x:c r="F122" s="43" t="str">
        <x:v>https://www.cmegroup.com/notices/clearing/2026/08/26-274.html</x:v>
      </x:c>
      <x:c r="G122" s="43" t="str">
        <x:v>compute_futures</x:v>
      </x:c>
      <x:c r="H122" s="43" t="str">
        <x:v>primary_read</x:v>
      </x:c>
      <x:c r="I122" s="43" t="str">
        <x:v>Exact revision publication date unavailable. Page title says effective date to be announced; full advisory attachment not exposed in retrieved page.</x:v>
      </x:c>
    </x:row>
    <x:row r="123">
      <x:c r="A123" s="19" t="str">
        <x:v>SRC-CME-COMPUTE-ANNOUNCE-20260811</x:v>
      </x:c>
      <x:c r="B123" s="45" t="d">
        <x:v>2026-08-11T00:00:00.000Z</x:v>
      </x:c>
      <x:c r="C123" s="19" t="str">
        <x:v>CME Group</x:v>
      </x:c>
      <x:c r="D123" s="43" t="str">
        <x:v>CME Group and Silicon Data to Launch Compute Futures on October 5</x:v>
      </x:c>
      <x:c r="E123" s="43" t="str">
        <x:v>exchange_press_release</x:v>
      </x:c>
      <x:c r="F123" s="43" t="str">
        <x:v>https://cmegroupinc.gcs-web.com/node/55686</x:v>
      </x:c>
      <x:c r="G123" s="43" t="str">
        <x:v>compute_futures</x:v>
      </x:c>
      <x:c r="H123" s="43" t="str">
        <x:v>primary_read</x:v>
      </x:c>
      <x:c r="I123" s="43" t="str">
        <x:v>Original target only; later revised notice prevents treating October 5 as a confirmed live-trading date.</x:v>
      </x:c>
    </x:row>
    <x:row r="124">
      <x:c r="A124" s="19" t="str">
        <x:v>SRC-MW-TIME-METHOD-20261002</x:v>
      </x:c>
      <x:c r="B124" s="45" t="d">
        <x:v>2026-10-02T00:00:00.000Z</x:v>
      </x:c>
      <x:c r="C124" s="19" t="str">
        <x:v>MW/$ research</x:v>
      </x:c>
      <x:c r="D124" s="43" t="str">
        <x:v>Project time and depreciation method and seeded dashboard</x:v>
      </x:c>
      <x:c r="E124" s="43" t="str">
        <x:v>internal_method</x:v>
      </x:c>
      <x:c r="F124" s="43" t="str">
        <x:v>https://github.com/smsyt4sjvc-crypto/MW-/blob/3172e3699ebbe47c46b8e8d8cdd734e849624342/ops/project-time-depreciation.md</x:v>
      </x:c>
      <x:c r="G124" s="43" t="str">
        <x:v>time_to_mw;economic_depreciation</x:v>
      </x:c>
      <x:c r="H124" s="43" t="str">
        <x:v>internal_model</x:v>
      </x:c>
      <x:c r="I124" s="43" t="str">
        <x:v>Reference scenarios and three-observation seed, not an industry estimate; underlying primary milestone sources remain in infrastructure source ledger.</x:v>
      </x:c>
    </x:row>
    <x:row r="125">
      <x:c r="A125" s="19" t="str">
        <x:v>SRC-NSCALE-S1-20260918</x:v>
      </x:c>
      <x:c r="B125" s="45" t="d">
        <x:v>2026-09-18T00:00:00.000Z</x:v>
      </x:c>
      <x:c r="C125" s="19" t="str">
        <x:v>Nscale / SEC</x:v>
      </x:c>
      <x:c r="D125" s="43" t="str">
        <x:v>Nscale S-1: annual FY2025 and interim H1 2026 financials</x:v>
      </x:c>
      <x:c r="E125" s="43" t="str">
        <x:v>S-1</x:v>
      </x:c>
      <x:c r="F125" s="43" t="str">
        <x:v>https://www.sec.gov/Archives/edgar/data/2110365/000119312526395475/ck0002110365-20260918.htm</x:v>
      </x:c>
      <x:c r="G125" s="43" t="str">
        <x:v>Nscale review 2026-10-05</x:v>
      </x:c>
      <x:c r="H125" s="43" t="str">
        <x:v>Primary read</x:v>
      </x:c>
      <x:c r="I125" s="43" t="str">
        <x:v>pp. 13,27,84-86,99-100,114-115,118-119; F-4,F-6,F-10,F-17-18,F-45,F-47,F-49-50,F-52-55,F-63-65</x:v>
      </x:c>
    </x:row>
    <x:row r="126">
      <x:c r="A126" s="19" t="str">
        <x:v>SRC-NSCALE-ANTHROPIC-EX1025</x:v>
      </x:c>
      <x:c r="B126" s="45" t="d">
        <x:v>2026-09-18T00:00:00.000Z</x:v>
      </x:c>
      <x:c r="C126" s="19" t="str">
        <x:v>Nscale / SEC</x:v>
      </x:c>
      <x:c r="D126" s="43" t="str">
        <x:v>Form of Anthropic GPU services order</x:v>
      </x:c>
      <x:c r="E126" s="43" t="str">
        <x:v>S-1 Exhibit 10.25</x:v>
      </x:c>
      <x:c r="F126" s="43" t="str">
        <x:v>https://www.sec.gov/Archives/edgar/data/2110365/000119312526395475/ck0002110365-ex10_25.htm</x:v>
      </x:c>
      <x:c r="G126" s="43" t="str">
        <x:v>Nscale review 2026-10-05</x:v>
      </x:c>
      <x:c r="H126" s="43" t="str">
        <x:v>Primary read</x:v>
      </x:c>
      <x:c r="I126" s="43" t="str">
        <x:v>Order sections 1(c),4-9; pricing and capacity tables; terms of service and redacted schedules</x:v>
      </x:c>
    </x:row>
    <x:row r="127">
      <x:c r="A127" s="19" t="str">
        <x:v>SRC-NSCALE-MSFT-EX1019</x:v>
      </x:c>
      <x:c r="B127" s="45" t="d">
        <x:v>2026-09-18T00:00:00.000Z</x:v>
      </x:c>
      <x:c r="C127" s="19" t="str">
        <x:v>Nscale / SEC</x:v>
      </x:c>
      <x:c r="D127" s="43" t="str">
        <x:v>Form of Microsoft partner statement of work</x:v>
      </x:c>
      <x:c r="E127" s="43" t="str">
        <x:v>S-1 Exhibit 10.19</x:v>
      </x:c>
      <x:c r="F127" s="43" t="str">
        <x:v>https://www.sec.gov/Archives/edgar/data/2110365/000119312526395475/ck0002110365-ex10_19.htm</x:v>
      </x:c>
      <x:c r="G127" s="43" t="str">
        <x:v>Nscale review 2026-10-05</x:v>
      </x:c>
      <x:c r="H127" s="43" t="str">
        <x:v>Primary read</x:v>
      </x:c>
      <x:c r="I127" s="43" t="str">
        <x:v>Sections 1.3,3.1-3.4,6.10: customer-supplied equipment, acceptance, delay credits and prepayment refund</x:v>
      </x:c>
    </x:row>
    <x:row r="128">
      <x:c r="A128" s="19" t="str">
        <x:v>SRC-NSCALE-DFS-EX1020</x:v>
      </x:c>
      <x:c r="B128" s="45" t="d">
        <x:v>2026-09-18T00:00:00.000Z</x:v>
      </x:c>
      <x:c r="C128" s="19" t="str">
        <x:v>Nscale / SEC</x:v>
      </x:c>
      <x:c r="D128" s="43" t="str">
        <x:v>Dell Financial Services global framework agreement</x:v>
      </x:c>
      <x:c r="E128" s="43" t="str">
        <x:v>S-1 Exhibit 10.20</x:v>
      </x:c>
      <x:c r="F128" s="43" t="str">
        <x:v>https://www.sec.gov/Archives/edgar/data/2110365/000119312526395475/ck0002110365-ex10_20.htm</x:v>
      </x:c>
      <x:c r="G128" s="43" t="str">
        <x:v>Nscale review 2026-10-05</x:v>
      </x:c>
      <x:c r="H128" s="43" t="str">
        <x:v>Primary read</x:v>
      </x:c>
      <x:c r="I128" s="43" t="str">
        <x:v>Sections 2-8: title, unconditional payments, return, loss and acceleration</x:v>
      </x:c>
    </x:row>
    <x:row r="129">
      <x:c r="A129" s="19" t="str">
        <x:v>SRC-NSCALE-WARD-EX1023</x:v>
      </x:c>
      <x:c r="B129" s="45" t="d">
        <x:v>2026-09-18T00:00:00.000Z</x:v>
      </x:c>
      <x:c r="C129" s="19" t="str">
        <x:v>Nscale / SEC</x:v>
      </x:c>
      <x:c r="D129" s="43" t="str">
        <x:v>Ward County SPV credit agreement</x:v>
      </x:c>
      <x:c r="E129" s="43" t="str">
        <x:v>S-1 Exhibit 10.23</x:v>
      </x:c>
      <x:c r="F129" s="43" t="str">
        <x:v>https://www.sec.gov/Archives/edgar/data/2110365/000119312526395475/ck0002110365-ex10_23.htm</x:v>
      </x:c>
      <x:c r="G129" s="43" t="str">
        <x:v>Nscale review 2026-10-05</x:v>
      </x:c>
      <x:c r="H129" s="43" t="str">
        <x:v>Primary read</x:v>
      </x:c>
      <x:c r="I129" s="43" t="str">
        <x:v>Section 1.01 Term Maturity Date; sections 2.20 cash waterfall and 4.02 credit-event conditions</x:v>
      </x:c>
    </x:row>
    <x:row r="130">
      <x:c r="A130" s="19" t="str">
        <x:v>SRC-NSCALE-NC-EX1024</x:v>
      </x:c>
      <x:c r="B130" s="45" t="d">
        <x:v>2026-09-18T00:00:00.000Z</x:v>
      </x:c>
      <x:c r="C130" s="19" t="str">
        <x:v>Nscale / SEC</x:v>
      </x:c>
      <x:c r="D130" s="43" t="str">
        <x:v>North Carolina SPV credit agreement</x:v>
      </x:c>
      <x:c r="E130" s="43" t="str">
        <x:v>S-1 Exhibit 10.24</x:v>
      </x:c>
      <x:c r="F130" s="43" t="str">
        <x:v>https://www.sec.gov/Archives/edgar/data/2110365/000119312526395475/ck0002110365-ex10_24.htm</x:v>
      </x:c>
      <x:c r="G130" s="43" t="str">
        <x:v>Nscale review 2026-10-05</x:v>
      </x:c>
      <x:c r="H130" s="43" t="str">
        <x:v>Primary read</x:v>
      </x:c>
      <x:c r="I130" s="43" t="str">
        <x:v>Section 1.01 Advance Rate and Term Maturity Date; sections 2.20 and 4.02</x:v>
      </x:c>
    </x:row>
    <x:row r="131">
      <x:c r="A131" s="19" t="str">
        <x:v>SRC-NSCALE-CONVERT-20260925</x:v>
      </x:c>
      <x:c r="B131" s="45" t="d">
        <x:v>2026-09-25T00:00:00.000Z</x:v>
      </x:c>
      <x:c r="C131" s="19" t="str">
        <x:v>Nscale</x:v>
      </x:c>
      <x:c r="D131" s="43" t="str">
        <x:v>Nscale raises $3.36B pre-IPO convertible financing</x:v>
      </x:c>
      <x:c r="E131" s="43" t="str">
        <x:v>issuer_release</x:v>
      </x:c>
      <x:c r="F131" s="43" t="str">
        <x:v>https://www.nscale.com/press-releases/pre-ipo-convertible-financing</x:v>
      </x:c>
      <x:c r="G131" s="43" t="str">
        <x:v>Nscale review 2026-10-05</x:v>
      </x:c>
      <x:c r="H131" s="43" t="str">
        <x:v>Primary read</x:v>
      </x:c>
      <x:c r="I131" s="43" t="str">
        <x:v>Opening paragraph and financing/tranche/conversion paragraph</x:v>
      </x:c>
    </x:row>
    <x:row r="132">
      <x:c r="A132" s="19" t="str">
        <x:v>SRC-NSCALE-DEPLOY-20261001</x:v>
      </x:c>
      <x:c r="B132" s="45" t="d">
        <x:v>2026-10-01T00:00:00.000Z</x:v>
      </x:c>
      <x:c r="C132" s="19" t="str">
        <x:v>Nscale</x:v>
      </x:c>
      <x:c r="D132" s="43" t="str">
        <x:v>Execution at scale: doubling deployments</x:v>
      </x:c>
      <x:c r="E132" s="43" t="str">
        <x:v>issuer_operational_update</x:v>
      </x:c>
      <x:c r="F132" s="43" t="str">
        <x:v>https://www.nscale.com/press-releases/execution-at-scale</x:v>
      </x:c>
      <x:c r="G132" s="43" t="str">
        <x:v>Nscale review 2026-10-05</x:v>
      </x:c>
      <x:c r="H132" s="43" t="str">
        <x:v>Primary read</x:v>
      </x:c>
      <x:c r="I132" s="43" t="str">
        <x:v>Opening two paragraphs: 24000 additional GPUs and over 50000 across six active sites</x:v>
      </x:c>
    </x:row>
    <x:row r="133">
      <x:c r="A133" s="19" t="str">
        <x:v>SRC-NSCALE-SITES-20261005</x:v>
      </x:c>
      <x:c r="B133" s="45"/>
      <x:c r="C133" s="19" t="str">
        <x:v>Nscale</x:v>
      </x:c>
      <x:c r="D133" s="43" t="str">
        <x:v>Nscale AI infrastructure site descriptions</x:v>
      </x:c>
      <x:c r="E133" s="43" t="str">
        <x:v>issuer_site_page</x:v>
      </x:c>
      <x:c r="F133" s="43" t="str">
        <x:v>https://www.nscale.com/ai-infrastructure</x:v>
      </x:c>
      <x:c r="G133" s="43" t="str">
        <x:v>Nscale review 2026-10-05</x:v>
      </x:c>
      <x:c r="H133" s="43" t="str">
        <x:v>Primary read</x:v>
      </x:c>
      <x:c r="I133" s="43" t="str">
        <x:v>Glomfjord; Monarch Compute Campus; Ward County; North Carolina</x:v>
      </x:c>
    </x:row>
    <x:row r="134">
      <x:c r="A134" s="20" t="str">
        <x:v>SRC-NSCALE-SEC-INDEX-20261005</x:v>
      </x:c>
      <x:c r="B134" s="46"/>
      <x:c r="C134" s="20" t="str">
        <x:v>Nscale / SEC</x:v>
      </x:c>
      <x:c r="D134" s="44" t="str">
        <x:v>Nscale SEC submissions index</x:v>
      </x:c>
      <x:c r="E134" s="44" t="str">
        <x:v>regulator_index</x:v>
      </x:c>
      <x:c r="F134" s="44" t="str">
        <x:v>https://data.sec.gov/submissions/CIK0002110365.json</x:v>
      </x:c>
      <x:c r="G134" s="44" t="str">
        <x:v>Nscale review 2026-10-05</x:v>
      </x:c>
      <x:c r="H134" s="44" t="str">
        <x:v>Primary read</x:v>
      </x:c>
      <x:c r="I134" s="44" t="str">
        <x:v>filings.recent: latest public S-1 September 18, 2026; prior DRS amendments</x:v>
      </x:c>
    </x:row>
  </x:sheetData>
  <x:pageMargins left="0.7" right="0.7" top="0.75" bottom="0.75" header="0.3" footer="0.3"/>
  <x:tableParts count="1">
    <x:tablePart xmlns:r="http://schemas.openxmlformats.org/officeDocument/2006/relationships" r:id="R69ff014de7454947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