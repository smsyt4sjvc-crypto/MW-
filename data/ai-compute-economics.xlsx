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adbe6a74b8415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31c4f4b9b00d4ab9"/>
    <x:sheet xmlns:r="http://schemas.openxmlformats.org/officeDocument/2006/relationships" name="Company Models" sheetId="2" r:id="R49fc04845fc44ae8"/>
    <x:sheet xmlns:r="http://schemas.openxmlformats.org/officeDocument/2006/relationships" name="Methods" sheetId="3" r:id="R8288f841dca0496c"/>
    <x:sheet xmlns:r="http://schemas.openxmlformats.org/officeDocument/2006/relationships" name="Token Economics" sheetId="4" r:id="Rfe9e0885443d435d"/>
    <x:sheet xmlns:r="http://schemas.openxmlformats.org/officeDocument/2006/relationships" name="Benchmarks" sheetId="5" r:id="R596c12a194584f1b"/>
    <x:sheet xmlns:r="http://schemas.openxmlformats.org/officeDocument/2006/relationships" name="Sources" sheetId="6" r:id="R76e382eb87ab4a2d"/>
    <x:sheet xmlns:r="http://schemas.openxmlformats.org/officeDocument/2006/relationships" name="Read Me" sheetId="7" r:id="Rc26c46b89db744b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$#,##0;[Red]($#,##0);-"/>
    <x:numFmt numFmtId="201" formatCode="0.0x"/>
    <x:numFmt numFmtId="202" formatCode="0.0%"/>
    <x:numFmt numFmtId="203" formatCode="#,##0.0"/>
    <x:numFmt numFmtId="204" formatCode="0.00"/>
    <x:numFmt numFmtId="205" formatCode="$#,##0.0"/>
    <x:numFmt numFmtId="206" formatCode="mm/dd/yy"/>
    <x:numFmt numFmtId="207" formatCode="0.0000"/>
    <x:numFmt numFmtId="208" formatCode="0.00x"/>
    <x:numFmt numFmtId="209" formatCode="$0.0"/>
  </x:numFmts>
  <x:fonts count="8">
    <x:font>
      <x:sz val="11"/>
      <x:name val="Carlito"/>
    </x:font>
    <x:font>
      <x:b/>
      <x:sz val="15"/>
      <x:color rgb="FF172B3A"/>
      <x:name val="Arial"/>
    </x:font>
    <x:font>
      <x:i/>
      <x:sz val="10"/>
      <x:color rgb="FF5B6670"/>
      <x:name val="Arial"/>
    </x:font>
    <x:font>
      <x:b/>
      <x:sz val="10"/>
      <x:color rgb="FFFFFFFF"/>
      <x:name val="Arial"/>
    </x:font>
    <x:font>
      <x:sz val="10"/>
      <x:color rgb="FF1F2933"/>
      <x:name val="Arial"/>
    </x:font>
    <x:font>
      <x:sz val="10"/>
      <x:color rgb="FF0066CC"/>
      <x:name val="Arial"/>
    </x:font>
    <x:font>
      <x:sz val="10"/>
      <x:color rgb="FF000000"/>
      <x:name val="Arial"/>
    </x:font>
    <x:font>
      <x:b/>
      <x:sz val="11"/>
      <x:color rgb="FF17324D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3415C"/>
      </x:patternFill>
    </x:fill>
    <x:fill>
      <x:patternFill patternType="solid">
        <x:fgColor rgb="FFFFF4CC"/>
      </x:patternFill>
    </x:fill>
    <x:fill>
      <x:patternFill patternType="solid">
        <x:fgColor rgb="FFDCEAF5"/>
      </x:patternFill>
    </x:fill>
  </x:fills>
  <x:borders count="6">
    <x:border/>
    <x:border>
      <x:bottom style="thin">
        <x:color rgb="FF23415C"/>
      </x:bottom>
    </x:border>
    <x:border>
      <x:right style="thin">
        <x:color rgb="FFFFFFFF"/>
      </x:right>
      <x:bottom style="medium">
        <x:color rgb="FF23415C"/>
      </x:bottom>
    </x:border>
    <x:border>
      <x:left style="thin">
        <x:color rgb="FFFFFFFF"/>
      </x:left>
      <x:right style="thin">
        <x:color rgb="FFFFFFFF"/>
      </x:right>
      <x:bottom style="medium">
        <x:color rgb="FF23415C"/>
      </x:bottom>
    </x:border>
    <x:border>
      <x:left style="thin">
        <x:color rgb="FFFFFFFF"/>
      </x:left>
      <x:bottom style="medium">
        <x:color rgb="FF23415C"/>
      </x:bottom>
    </x:border>
    <x:border>
      <x:bottom style="thin">
        <x:color rgb="FFD9E1E8"/>
      </x:bottom>
    </x:border>
  </x:borders>
  <x:cellStyleXfs count="1">
    <x:xf numFmtId="0" fontId="0" fillId="0" borderId="0"/>
  </x:cellStyleXfs>
  <x:cellXfs count="63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/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4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4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5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200" fontId="5" fillId="3" borderId="0" xfId="0" applyNumberFormat="1" applyFont="1" applyFill="1" applyBorder="1" applyAlignment="1">
      <x:alignment vertical="center"/>
    </x:xf>
    <x:xf numFmtId="200" fontId="5" fillId="3" borderId="5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201" fontId="5" fillId="3" borderId="5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5" fillId="3" borderId="5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203" fontId="5" fillId="3" borderId="5" xfId="0" applyNumberFormat="1" applyFont="1" applyFill="1" applyBorder="1" applyAlignment="1">
      <x:alignment vertical="center"/>
    </x:xf>
    <x:xf numFmtId="204" fontId="5" fillId="3" borderId="0" xfId="0" applyNumberFormat="1" applyFont="1" applyFill="1" applyBorder="1" applyAlignment="1">
      <x:alignment vertical="center"/>
    </x:xf>
    <x:xf numFmtId="204" fontId="5" fillId="3" borderId="5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200" fontId="6" fillId="0" borderId="5" xfId="0" applyNumberFormat="1" applyFont="1" applyFill="1" applyBorder="1" applyAlignment="1">
      <x:alignment vertical="center"/>
    </x:xf>
    <x:xf numFmtId="203" fontId="6" fillId="0" borderId="0" xfId="0" applyNumberFormat="1" applyFont="1" applyFill="1" applyBorder="1" applyAlignment="1">
      <x:alignment vertical="center"/>
    </x:xf>
    <x:xf numFmtId="203" fontId="6" fillId="0" borderId="5" xfId="0" applyNumberFormat="1" applyFont="1" applyFill="1" applyBorder="1" applyAlignment="1">
      <x:alignment vertical="center"/>
    </x:xf>
    <x:xf numFmtId="205" fontId="6" fillId="0" borderId="0" xfId="0" applyNumberFormat="1" applyFont="1" applyFill="1" applyBorder="1" applyAlignment="1">
      <x:alignment vertical="center"/>
    </x:xf>
    <x:xf numFmtId="205" fontId="6" fillId="0" borderId="5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206" fontId="4" fillId="0" borderId="0" xfId="0" applyNumberFormat="1" applyFont="1" applyFill="1" applyBorder="1" applyAlignment="1">
      <x:alignment vertical="center"/>
    </x:xf>
    <x:xf numFmtId="206" fontId="4" fillId="0" borderId="5" xfId="0" applyNumberFormat="1" applyFont="1" applyFill="1" applyBorder="1" applyAlignment="1">
      <x:alignment vertical="center"/>
    </x:xf>
    <x:xf numFmtId="207" fontId="4" fillId="0" borderId="0" xfId="0" applyNumberFormat="1" applyFont="1" applyFill="1" applyBorder="1" applyAlignment="1">
      <x:alignment vertical="center"/>
    </x:xf>
    <x:xf numFmtId="207" fontId="4" fillId="0" borderId="5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/>
    <x:xf numFmtId="202" fontId="4" fillId="0" borderId="0" xfId="0" applyNumberFormat="1" applyFont="1" applyFill="1" applyBorder="1"/>
    <x:xf numFmtId="208" fontId="4" fillId="0" borderId="0" xfId="0" applyNumberFormat="1" applyFont="1" applyFill="1" applyBorder="1"/>
    <x:xf numFmtId="202" fontId="5" fillId="0" borderId="0" xfId="0" applyNumberFormat="1" applyFont="1" applyFill="1" applyBorder="1"/>
    <x:xf numFmtId="202" fontId="5" fillId="3" borderId="0" xfId="0" applyNumberFormat="1" applyFont="1" applyFill="1" applyBorder="1"/>
    <x:xf numFmtId="209" fontId="4" fillId="0" borderId="0" xfId="0" applyNumberFormat="1" applyFont="1" applyFill="1" applyBorder="1" applyAlignment="1">
      <x:alignment vertical="center"/>
    </x:xf>
    <x:xf numFmtId="209" fontId="4" fillId="0" borderId="5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201" fontId="4" fillId="0" borderId="5" xfId="0" applyNumberFormat="1" applyFont="1" applyFill="1" applyBorder="1" applyAlignment="1">
      <x:alignment vertical="center"/>
    </x:xf>
    <x:xf numFmtId="205" fontId="4" fillId="0" borderId="0" xfId="0" applyNumberFormat="1" applyFont="1" applyFill="1" applyBorder="1" applyAlignment="1">
      <x:alignment vertical="center"/>
    </x:xf>
    <x:xf numFmtId="205" fontId="4" fillId="0" borderId="5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B42318"/>
      </x:font>
      <x:fill>
        <x:patternFill patternType="solid">
          <x:bgColor rgb="FFFDE8E7"/>
        </x:patternFill>
      </x:fill>
    </x:dxf>
    <x:dxf>
      <x:font>
        <x:b/>
        <x:color rgb="FF176B3A"/>
      </x:font>
      <x:fill>
        <x:patternFill patternType="solid">
          <x:bgColor rgb="FFE6F4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bc85bdaff74bd8" /><Relationship Type="http://schemas.openxmlformats.org/officeDocument/2006/relationships/theme" Target="/xl/theme/theme1.xml" Id="Rdff55dca1ef94de0" /><Relationship Type="http://schemas.openxmlformats.org/officeDocument/2006/relationships/sharedStrings" Target="/xl/sharedStrings.xml" Id="Rab2397a9fc4b45d9" /><Relationship Type="http://schemas.openxmlformats.org/officeDocument/2006/relationships/worksheet" Target="/xl/worksheets/sheet1.xml" Id="R31c4f4b9b00d4ab9" /><Relationship Type="http://schemas.openxmlformats.org/officeDocument/2006/relationships/worksheet" Target="/xl/worksheets/sheet2.xml" Id="R49fc04845fc44ae8" /><Relationship Type="http://schemas.openxmlformats.org/officeDocument/2006/relationships/worksheet" Target="/xl/worksheets/sheet3.xml" Id="R8288f841dca0496c" /><Relationship Type="http://schemas.openxmlformats.org/officeDocument/2006/relationships/worksheet" Target="/xl/worksheets/sheet4.xml" Id="Rfe9e0885443d435d" /><Relationship Type="http://schemas.openxmlformats.org/officeDocument/2006/relationships/worksheet" Target="/xl/worksheets/sheet5.xml" Id="R596c12a194584f1b" /><Relationship Type="http://schemas.openxmlformats.org/officeDocument/2006/relationships/worksheet" Target="/xl/worksheets/sheet6.xml" Id="R76e382eb87ab4a2d" /><Relationship Type="http://schemas.openxmlformats.org/officeDocument/2006/relationships/worksheet" Target="/xl/worksheets/sheet7.xml" Id="Rc26c46b89db744b8" /></Relationships>
</file>

<file path=xl/tables/table1.xml><?xml version="1.0" encoding="utf-8"?>
<x:table xmlns:x="http://schemas.openxmlformats.org/spreadsheetml/2006/main" id="1" name="CompanyMethodsTable" displayName="CompanyMethodsTable" ref="A4:G17" headerRowCount="1" totalsRowCount="0" totalsRowShown="0">
  <x:tableColumns count="7">
    <x:tableColumn id="1" name="Method ID"/>
    <x:tableColumn id="2" name="Company"/>
    <x:tableColumn id="3" name="Role"/>
    <x:tableColumn id="4" name="Numerator"/>
    <x:tableColumn id="5" name="Denominator"/>
    <x:tableColumn id="6" name="Unique adjustment"/>
    <x:tableColumn id="7" name="Statu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okenEconomicsTable" displayName="TokenEconomicsTable" ref="A4:I20" headerRowCount="1" totalsRowCount="0" totalsRowShown="0">
  <x:tableColumns count="9">
    <x:tableColumn id="1" name="Date"/>
    <x:tableColumn id="2" name="Dataset"/>
    <x:tableColumn id="3" name="Metric"/>
    <x:tableColumn id="4" name="Value"/>
    <x:tableColumn id="5" name="Unit"/>
    <x:tableColumn id="6" name="Window"/>
    <x:tableColumn id="7" name="Source ID"/>
    <x:tableColumn id="8" name="Evidence state"/>
    <x:tableColumn id="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RegisterTable" displayName="SourceRegisterTable" ref="A4:I38" headerRowCount="1" totalsRowCount="0" totalsRowShown="0">
  <x:tableColumns count="9">
    <x:tableColumn id="1" name="Source ID"/>
    <x:tableColumn id="2" name="Date"/>
    <x:tableColumn id="3" name="Publisher"/>
    <x:tableColumn id="4" name="Title"/>
    <x:tableColumn id="5" name="Artifact type"/>
    <x:tableColumn id="6" name="Url"/>
    <x:tableColumn id="7" name="Supports"/>
    <x:tableColumn id="8" name="Status"/>
    <x:tableColumn id="9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473e72239eb340d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e014a0c2a70c4cd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f3fab472898a49ce" /></Relationships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12" topLeftCell="A13" activePane="bottomLeft" state="frozen"/>
    </x:sheetView>
  </x:sheetViews>
  <x:sheetFormatPr defaultRowHeight="15"/>
  <x:cols>
    <x:col min="1" max="1" width="52" hidden="0" customWidth="1"/>
    <x:col min="2" max="2" width="24" hidden="0" customWidth="1"/>
    <x:col min="3" max="3" width="18" hidden="0" customWidth="1"/>
    <x:col min="4" max="4" width="35" hidden="0" customWidth="1"/>
    <x:col min="5" max="5" width="14" hidden="0" customWidth="1"/>
    <x:col min="6" max="6" width="14" hidden="0" customWidth="1"/>
    <x:col min="7" max="7" width="24" hidden="0" customWidth="1"/>
    <x:col min="8" max="8" width="42" hidden="0" customWidth="1"/>
  </x:cols>
  <x:sheetData>
    <x:row r="2">
      <x:c r="A2" s="2" t="str">
        <x:v>AI compute economics</x:v>
      </x:c>
      <x:c r="B2" s="1"/>
      <x:c r="C2" s="1"/>
      <x:c r="D2" s="1"/>
      <x:c r="E2" s="1"/>
      <x:c r="F2" s="1"/>
      <x:c r="G2" s="1"/>
      <x:c r="H2" s="1"/>
    </x:row>
    <x:row r="3">
      <x:c r="A3" s="3" t="str">
        <x:v>Revenue manufactured per effective utilized IT MW, with token monetization and capex context.</x:v>
      </x:c>
      <x:c r="B3" s="3"/>
      <x:c r="C3" s="3"/>
      <x:c r="D3" s="3"/>
      <x:c r="E3" s="3"/>
      <x:c r="F3" s="3"/>
      <x:c r="G3" s="3"/>
      <x:c r="H3" s="3"/>
    </x:row>
    <x:row r="5" ht="32" customHeight="1">
      <x:c r="A5" s="15" t="str">
        <x:v>Current measures</x:v>
      </x:c>
      <x:c r="B5" s="17" t="str">
        <x:v>Value</x:v>
      </x:c>
      <x:c r="D5" s="15" t="str">
        <x:v>Benchmark</x:v>
      </x:c>
      <x:c r="E5" s="16" t="str">
        <x:v>Low</x:v>
      </x:c>
      <x:c r="F5" s="16" t="str">
        <x:v>High</x:v>
      </x:c>
      <x:c r="G5" s="16" t="str">
        <x:v>Class</x:v>
      </x:c>
      <x:c r="H5" s="17" t="str">
        <x:v>Question</x:v>
      </x:c>
    </x:row>
    <x:row r="6">
      <x:c r="A6" s="19" t="str">
        <x:v>Companies configured</x:v>
      </x:c>
      <x:c r="B6" s="19" t="n">
        <x:v>13</x:v>
      </x:c>
      <x:c r="D6" s="19" t="str">
        <x:v>Spot compute revenue ($B / IT GW-year)</x:v>
      </x:c>
      <x:c r="E6" s="54" t="n">
        <x:v>10</x:v>
      </x:c>
      <x:c r="F6" s="54" t="n">
        <x:v>12</x:v>
      </x:c>
      <x:c r="G6" s="19" t="str">
        <x:v>Merchant</x:v>
      </x:c>
      <x:c r="H6" s="19" t="str">
        <x:v>Does utilization or price weaken?</x:v>
      </x:c>
    </x:row>
    <x:row r="7">
      <x:c r="A7" s="19" t="str">
        <x:v>Operator outputs calculated</x:v>
      </x:c>
      <x:c r="B7" s="19" t="n">
        <x:f>COUNT('Company Models'!S5:S17)</x:f>
        <x:v>1</x:v>
      </x:c>
      <x:c r="D7" s="19" t="str">
        <x:v>Acceptability line</x:v>
      </x:c>
      <x:c r="E7" s="54" t="n">
        <x:v>15</x:v>
      </x:c>
      <x:c r="F7" s="54" t="n">
        <x:v>15</x:v>
      </x:c>
      <x:c r="G7" s="19" t="str">
        <x:v>External threshold</x:v>
      </x:c>
      <x:c r="H7" s="19" t="str">
        <x:v>Derivation remains open</x:v>
      </x:c>
    </x:row>
    <x:row r="8">
      <x:c r="A8" s="19" t="str">
        <x:v>Nscale contracted revenue ($M / effective MW-year)</x:v>
      </x:c>
      <x:c r="B8" s="58" t="n">
        <x:f>'Company Models'!S13</x:f>
        <x:v>16.304347826086957</x:v>
      </x:c>
      <x:c r="D8" s="19" t="str">
        <x:v>Nscale / Anthropic</x:v>
      </x:c>
      <x:c r="E8" s="54" t="n">
        <x:v>16.3</x:v>
      </x:c>
      <x:c r="F8" s="54" t="n">
        <x:v>16.3</x:v>
      </x:c>
      <x:c r="G8" s="19" t="str">
        <x:v>Contracted</x:v>
      </x:c>
      <x:c r="H8" s="19" t="str">
        <x:v>Does the offtake premium persist?</x:v>
      </x:c>
    </x:row>
    <x:row r="9">
      <x:c r="A9" s="20" t="str">
        <x:v>July Jevons result</x:v>
      </x:c>
      <x:c r="B9" s="20" t="str">
        <x:f>'Token Economics'!L10</x:f>
        <x:v>Jevons absorption</x:v>
      </x:c>
      <x:c r="D9" s="20" t="str">
        <x:v>Healthy long-term case</x:v>
      </x:c>
      <x:c r="E9" s="55" t="n">
        <x:v>25</x:v>
      </x:c>
      <x:c r="F9" s="55" t="n">
        <x:v>25</x:v>
      </x:c>
      <x:c r="G9" s="20" t="str">
        <x:v>Aspirational</x:v>
      </x:c>
      <x:c r="H9" s="20" t="str">
        <x:v>Can Rubin lift operator revenue/GW?</x:v>
      </x:c>
    </x:row>
    <x:row r="12" ht="32" customHeight="1">
      <x:c r="A12" s="15" t="str">
        <x:v>Company</x:v>
      </x:c>
      <x:c r="B12" s="16" t="str">
        <x:v>Method</x:v>
      </x:c>
      <x:c r="C12" s="16" t="str">
        <x:v>Role</x:v>
      </x:c>
      <x:c r="D12" s="16" t="str">
        <x:v>Input status</x:v>
      </x:c>
      <x:c r="E12" s="16" t="str">
        <x:v>Revenue $M / effective MW-year</x:v>
      </x:c>
      <x:c r="F12" s="17" t="str">
        <x:v>Calculation status</x:v>
      </x:c>
    </x:row>
    <x:row r="13">
      <x:c r="A13" s="19" t="str">
        <x:f>'Company Models'!A5</x:f>
        <x:v>Microsoft Azure</x:v>
      </x:c>
      <x:c r="B13" s="19" t="str">
        <x:f>'Company Models'!B5</x:f>
        <x:v>SEGMENT-AZURE</x:v>
      </x:c>
      <x:c r="C13" s="19" t="str">
        <x:f>IFERROR(INDEX(Methods!$C$5:$C$17,MATCH(B13,Methods!$A$5:$A$17,0)),"")</x:f>
        <x:v>Hyperscaler</x:v>
      </x:c>
      <x:c r="D13" s="19" t="str">
        <x:f>'Company Models'!N5</x:f>
        <x:v>OPEN</x:v>
      </x:c>
      <x:c r="E13" s="58" t="str">
        <x:f>IF('Company Models'!S5="","",'Company Models'!S5)</x:f>
      </x:c>
      <x:c r="F13" s="19" t="str">
        <x:f>'Company Models'!T5</x:f>
        <x:v>Missing numerator or denominator</x:v>
      </x:c>
    </x:row>
    <x:row r="14">
      <x:c r="A14" s="19" t="str">
        <x:f>'Company Models'!A6</x:f>
        <x:v>Amazon AWS</x:v>
      </x:c>
      <x:c r="B14" s="19" t="str">
        <x:f>'Company Models'!B6</x:f>
        <x:v>SEGMENT-AWS</x:v>
      </x:c>
      <x:c r="C14" s="19" t="str">
        <x:f>IFERROR(INDEX(Methods!$C$5:$C$17,MATCH(B14,Methods!$A$5:$A$17,0)),"")</x:f>
        <x:v>Hyperscaler</x:v>
      </x:c>
      <x:c r="D14" s="19" t="str">
        <x:f>'Company Models'!N6</x:f>
        <x:v>OPEN</x:v>
      </x:c>
      <x:c r="E14" s="58" t="str">
        <x:f>IF('Company Models'!S6="","",'Company Models'!S6)</x:f>
      </x:c>
      <x:c r="F14" s="19" t="str">
        <x:f>'Company Models'!T6</x:f>
        <x:v>Missing numerator or denominator</x:v>
      </x:c>
    </x:row>
    <x:row r="15">
      <x:c r="A15" s="19" t="str">
        <x:f>'Company Models'!A7</x:f>
        <x:v>Alphabet Google Cloud</x:v>
      </x:c>
      <x:c r="B15" s="19" t="str">
        <x:f>'Company Models'!B7</x:f>
        <x:v>SEGMENT-GCP</x:v>
      </x:c>
      <x:c r="C15" s="19" t="str">
        <x:f>IFERROR(INDEX(Methods!$C$5:$C$17,MATCH(B15,Methods!$A$5:$A$17,0)),"")</x:f>
        <x:v>Hyperscaler</x:v>
      </x:c>
      <x:c r="D15" s="19" t="str">
        <x:f>'Company Models'!N7</x:f>
        <x:v>OPEN</x:v>
      </x:c>
      <x:c r="E15" s="58" t="str">
        <x:f>IF('Company Models'!S7="","",'Company Models'!S7)</x:f>
      </x:c>
      <x:c r="F15" s="19" t="str">
        <x:f>'Company Models'!T7</x:f>
        <x:v>Missing numerator or denominator</x:v>
      </x:c>
    </x:row>
    <x:row r="16">
      <x:c r="A16" s="19" t="str">
        <x:f>'Company Models'!A8</x:f>
        <x:v>Meta</x:v>
      </x:c>
      <x:c r="B16" s="19" t="str">
        <x:f>'Company Models'!B8</x:f>
        <x:v>INTERNAL-META</x:v>
      </x:c>
      <x:c r="C16" s="19" t="str">
        <x:f>IFERROR(INDEX(Methods!$C$5:$C$17,MATCH(B16,Methods!$A$5:$A$17,0)),"")</x:f>
        <x:v>Internal compute</x:v>
      </x:c>
      <x:c r="D16" s="19" t="str">
        <x:f>'Company Models'!N8</x:f>
        <x:v>OPEN</x:v>
      </x:c>
      <x:c r="E16" s="58" t="str">
        <x:f>IF('Company Models'!S8="","",'Company Models'!S8)</x:f>
      </x:c>
      <x:c r="F16" s="19" t="str">
        <x:f>'Company Models'!T8</x:f>
        <x:v>Missing numerator or denominator</x:v>
      </x:c>
    </x:row>
    <x:row r="17">
      <x:c r="A17" s="19" t="str">
        <x:f>'Company Models'!A9</x:f>
        <x:v>Oracle OCI</x:v>
      </x:c>
      <x:c r="B17" s="19" t="str">
        <x:f>'Company Models'!B9</x:f>
        <x:v>SEGMENT-OCI</x:v>
      </x:c>
      <x:c r="C17" s="19" t="str">
        <x:f>IFERROR(INDEX(Methods!$C$5:$C$17,MATCH(B17,Methods!$A$5:$A$17,0)),"")</x:f>
        <x:v>Hyperscaler</x:v>
      </x:c>
      <x:c r="D17" s="19" t="str">
        <x:f>'Company Models'!N9</x:f>
        <x:v>PARTIAL</x:v>
      </x:c>
      <x:c r="E17" s="58" t="str">
        <x:f>IF('Company Models'!S9="","",'Company Models'!S9)</x:f>
      </x:c>
      <x:c r="F17" s="19" t="str">
        <x:f>'Company Models'!T9</x:f>
        <x:v>Missing numerator or denominator</x:v>
      </x:c>
    </x:row>
    <x:row r="18">
      <x:c r="A18" s="19" t="str">
        <x:f>'Company Models'!A10</x:f>
        <x:v>CoreWeave</x:v>
      </x:c>
      <x:c r="B18" s="19" t="str">
        <x:f>'Company Models'!B10</x:f>
        <x:v>MERCHANT-CRWV</x:v>
      </x:c>
      <x:c r="C18" s="19" t="str">
        <x:f>IFERROR(INDEX(Methods!$C$5:$C$17,MATCH(B18,Methods!$A$5:$A$17,0)),"")</x:f>
        <x:v>Neocloud</x:v>
      </x:c>
      <x:c r="D18" s="19" t="str">
        <x:f>'Company Models'!N10</x:f>
        <x:v>PARTIAL</x:v>
      </x:c>
      <x:c r="E18" s="58" t="str">
        <x:f>IF('Company Models'!S10="","",'Company Models'!S10)</x:f>
      </x:c>
      <x:c r="F18" s="19" t="str">
        <x:f>'Company Models'!T10</x:f>
        <x:v>Missing numerator or denominator</x:v>
      </x:c>
    </x:row>
    <x:row r="19">
      <x:c r="A19" s="19" t="str">
        <x:f>'Company Models'!A11</x:f>
        <x:v>Nebius</x:v>
      </x:c>
      <x:c r="B19" s="19" t="str">
        <x:f>'Company Models'!B11</x:f>
        <x:v>MERCHANT-NBIS</x:v>
      </x:c>
      <x:c r="C19" s="19" t="str">
        <x:f>IFERROR(INDEX(Methods!$C$5:$C$17,MATCH(B19,Methods!$A$5:$A$17,0)),"")</x:f>
        <x:v>Neocloud</x:v>
      </x:c>
      <x:c r="D19" s="19" t="str">
        <x:f>'Company Models'!N11</x:f>
        <x:v>OPEN</x:v>
      </x:c>
      <x:c r="E19" s="58" t="str">
        <x:f>IF('Company Models'!S11="","",'Company Models'!S11)</x:f>
      </x:c>
      <x:c r="F19" s="19" t="str">
        <x:f>'Company Models'!T11</x:f>
        <x:v>Missing numerator or denominator</x:v>
      </x:c>
    </x:row>
    <x:row r="20">
      <x:c r="A20" s="19" t="str">
        <x:f>'Company Models'!A12</x:f>
        <x:v>IREN</x:v>
      </x:c>
      <x:c r="B20" s="19" t="str">
        <x:f>'Company Models'!B12</x:f>
        <x:v>MERCHANT-IREN</x:v>
      </x:c>
      <x:c r="C20" s="19" t="str">
        <x:f>IFERROR(INDEX(Methods!$C$5:$C$17,MATCH(B20,Methods!$A$5:$A$17,0)),"")</x:f>
        <x:v>Neocloud</x:v>
      </x:c>
      <x:c r="D20" s="19" t="str">
        <x:f>'Company Models'!N12</x:f>
        <x:v>OPEN</x:v>
      </x:c>
      <x:c r="E20" s="58" t="str">
        <x:f>IF('Company Models'!S12="","",'Company Models'!S12)</x:f>
      </x:c>
      <x:c r="F20" s="19" t="str">
        <x:f>'Company Models'!T12</x:f>
        <x:v>Missing numerator or denominator</x:v>
      </x:c>
    </x:row>
    <x:row r="21">
      <x:c r="A21" s="19" t="str">
        <x:f>'Company Models'!A13</x:f>
        <x:v>Nscale / Anthropic</x:v>
      </x:c>
      <x:c r="B21" s="19" t="str">
        <x:f>'Company Models'!B13</x:f>
        <x:v>CONTRACT-NSCALE</x:v>
      </x:c>
      <x:c r="C21" s="19" t="str">
        <x:f>IFERROR(INDEX(Methods!$C$5:$C$17,MATCH(B21,Methods!$A$5:$A$17,0)),"")</x:f>
        <x:v>Contracted compute</x:v>
      </x:c>
      <x:c r="D21" s="19" t="str">
        <x:f>'Company Models'!N13</x:f>
        <x:v>DERIVED</x:v>
      </x:c>
      <x:c r="E21" s="58" t="n">
        <x:f>IF('Company Models'!S13="","",'Company Models'!S13)</x:f>
        <x:v>16.304347826086957</x:v>
      </x:c>
      <x:c r="F21" s="19" t="str">
        <x:f>'Company Models'!T13</x:f>
        <x:v>Calculated</x:v>
      </x:c>
    </x:row>
    <x:row r="22">
      <x:c r="A22" s="19" t="str">
        <x:f>'Company Models'!A14</x:f>
        <x:v>xAI / SpaceX</x:v>
      </x:c>
      <x:c r="B22" s="19" t="str">
        <x:f>'Company Models'!B14</x:f>
        <x:v>PROJECT-XAI</x:v>
      </x:c>
      <x:c r="C22" s="19" t="str">
        <x:f>IFERROR(INDEX(Methods!$C$5:$C$17,MATCH(B22,Methods!$A$5:$A$17,0)),"")</x:f>
        <x:v>Reference operator</x:v>
      </x:c>
      <x:c r="D22" s="19" t="str">
        <x:f>'Company Models'!N14</x:f>
        <x:v>GUIDANCE ONLY</x:v>
      </x:c>
      <x:c r="E22" s="58" t="str">
        <x:f>IF('Company Models'!S14="","",'Company Models'!S14)</x:f>
      </x:c>
      <x:c r="F22" s="19" t="str">
        <x:f>'Company Models'!T14</x:f>
        <x:v>Missing numerator or denominator</x:v>
      </x:c>
    </x:row>
    <x:row r="23">
      <x:c r="A23" s="19" t="str">
        <x:f>'Company Models'!A15</x:f>
        <x:v>OpenAI / Stargate</x:v>
      </x:c>
      <x:c r="B23" s="19" t="str">
        <x:f>'Company Models'!B15</x:f>
        <x:v>PROJECT-STARGATE</x:v>
      </x:c>
      <x:c r="C23" s="19" t="str">
        <x:f>IFERROR(INDEX(Methods!$C$5:$C$17,MATCH(B23,Methods!$A$5:$A$17,0)),"")</x:f>
        <x:v>Reference project</x:v>
      </x:c>
      <x:c r="D23" s="19" t="str">
        <x:f>'Company Models'!N15</x:f>
        <x:v>CAPEX ONLY</x:v>
      </x:c>
      <x:c r="E23" s="58" t="str">
        <x:f>IF('Company Models'!S15="","",'Company Models'!S15)</x:f>
      </x:c>
      <x:c r="F23" s="19" t="str">
        <x:f>'Company Models'!T15</x:f>
        <x:v>Not an operator output</x:v>
      </x:c>
    </x:row>
    <x:row r="24">
      <x:c r="A24" s="19" t="str">
        <x:f>'Company Models'!A16</x:f>
        <x:v>NVIDIA</x:v>
      </x:c>
      <x:c r="B24" s="19" t="str">
        <x:f>'Company Models'!B16</x:f>
        <x:v>VENDOR-NVDA</x:v>
      </x:c>
      <x:c r="C24" s="19" t="str">
        <x:f>IFERROR(INDEX(Methods!$C$5:$C$17,MATCH(B24,Methods!$A$5:$A$17,0)),"")</x:f>
        <x:v>Silicon vendor</x:v>
      </x:c>
      <x:c r="D24" s="19" t="str">
        <x:f>'Company Models'!N16</x:f>
        <x:v>VENDOR ONLY</x:v>
      </x:c>
      <x:c r="E24" s="58" t="str">
        <x:f>IF('Company Models'!S16="","",'Company Models'!S16)</x:f>
      </x:c>
      <x:c r="F24" s="19" t="str">
        <x:f>'Company Models'!T16</x:f>
        <x:v>Not an operator output</x:v>
      </x:c>
    </x:row>
    <x:row r="25">
      <x:c r="A25" s="20" t="str">
        <x:f>'Company Models'!A17</x:f>
        <x:v>Broadcom</x:v>
      </x:c>
      <x:c r="B25" s="20" t="str">
        <x:f>'Company Models'!B17</x:f>
        <x:v>VENDOR-AVGO</x:v>
      </x:c>
      <x:c r="C25" s="20" t="str">
        <x:f>IFERROR(INDEX(Methods!$C$5:$C$17,MATCH(B25,Methods!$A$5:$A$17,0)),"")</x:f>
        <x:v>Silicon vendor</x:v>
      </x:c>
      <x:c r="D25" s="20" t="str">
        <x:f>'Company Models'!N17</x:f>
        <x:v>VENDOR ONLY</x:v>
      </x:c>
      <x:c r="E25" s="59" t="str">
        <x:f>IF('Company Models'!S17="","",'Company Models'!S17)</x:f>
      </x:c>
      <x:c r="F25" s="20" t="str">
        <x:f>'Company Models'!T17</x:f>
        <x:v>Not an operator output</x:v>
      </x:c>
    </x:row>
    <x:row r="28">
      <x:c r="A28" s="61" t="str">
        <x:v>Central forward test</x:v>
      </x:c>
      <x:c r="B28" s="61"/>
      <x:c r="C28" s="61"/>
      <x:c r="D28" s="61"/>
      <x:c r="E28" s="61"/>
      <x:c r="F28" s="61"/>
      <x:c r="G28" s="61"/>
      <x:c r="H28" s="61"/>
    </x:row>
    <x:row r="29" ht="68" customHeight="1">
      <x:c r="A29" s="62" t="str">
        <x:v>Rubin raises NVIDIA content per IT-load GW from $25B to $40B, about 60%. Operator revenue/GW must rise comparably to preserve gross-revenue payback. If revenue/GW stays flat again, vendor economics strengthen while operator replacement economics deteriorate.</x:v>
      </x:c>
      <x:c r="B29" s="62"/>
      <x:c r="C29" s="62"/>
      <x:c r="D29" s="62"/>
      <x:c r="E29" s="62"/>
      <x:c r="F29" s="62"/>
      <x:c r="G29" s="62"/>
      <x:c r="H29" s="6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C628F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2" hidden="0" customWidth="1"/>
    <x:col min="2" max="2" width="20" hidden="0" customWidth="1"/>
    <x:col min="3" max="3" width="16" hidden="0" customWidth="1"/>
    <x:col min="4" max="4" width="17" hidden="0" customWidth="1"/>
    <x:col min="5" max="5" width="14" hidden="0" customWidth="1"/>
    <x:col min="6" max="6" width="13" hidden="0" customWidth="1"/>
    <x:col min="7" max="7" width="14" hidden="0" customWidth="1"/>
    <x:col min="8" max="8" width="18" hidden="0" customWidth="1"/>
    <x:col min="9" max="9" width="9" hidden="0" customWidth="1"/>
    <x:col min="10" max="10" width="11" hidden="0" customWidth="1"/>
    <x:col min="11" max="11" width="12" hidden="0" customWidth="1"/>
    <x:col min="12" max="12" width="11" hidden="0" customWidth="1"/>
    <x:col min="13" max="13" width="30" hidden="0" customWidth="1"/>
    <x:col min="14" max="14" width="15" hidden="0" customWidth="1"/>
    <x:col min="15" max="15" width="48" hidden="0" customWidth="1"/>
    <x:col min="16" max="16" width="21" hidden="0" customWidth="1"/>
    <x:col min="17" max="17" width="14" hidden="0" customWidth="1"/>
    <x:col min="18" max="18" width="20" hidden="0" customWidth="1"/>
    <x:col min="19" max="19" width="20" hidden="0" customWidth="1"/>
    <x:col min="20" max="20" width="28" hidden="0" customWidth="1"/>
  </x:cols>
  <x:sheetData>
    <x:row r="2">
      <x:c r="A2" s="2" t="str">
        <x:v>Company revenue per effective MW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</x:row>
    <x:row r="3">
      <x:c r="A3" s="3" t="str">
        <x:v>Blue cells are editable source inputs. Formula outputs remain blank when a required numerator or denominator is missing.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</x:row>
    <x:row r="4" ht="32" customHeight="1">
      <x:c r="A4" s="15" t="str">
        <x:v>Company</x:v>
      </x:c>
      <x:c r="B4" s="16" t="str">
        <x:v>Method ID</x:v>
      </x:c>
      <x:c r="C4" s="16" t="str">
        <x:v>Period</x:v>
      </x:c>
      <x:c r="D4" s="16" t="str">
        <x:v>Revenue input (USD)</x:v>
      </x:c>
      <x:c r="E4" s="16" t="str">
        <x:v>Annualization factor</x:v>
      </x:c>
      <x:c r="F4" s="16" t="str">
        <x:v>AI / compute attribution</x:v>
      </x:c>
      <x:c r="G4" s="16" t="str">
        <x:v>Reported power (MW)</x:v>
      </x:c>
      <x:c r="H4" s="16" t="str">
        <x:v>Power scope</x:v>
      </x:c>
      <x:c r="I4" s="16" t="str">
        <x:v>PUE</x:v>
      </x:c>
      <x:c r="J4" s="16" t="str">
        <x:v>Availability</x:v>
      </x:c>
      <x:c r="K4" s="16" t="str">
        <x:v>Reserve factor</x:v>
      </x:c>
      <x:c r="L4" s="16" t="str">
        <x:v>Utilization</x:v>
      </x:c>
      <x:c r="M4" s="16" t="str">
        <x:v>Source ID</x:v>
      </x:c>
      <x:c r="N4" s="16" t="str">
        <x:v>Status</x:v>
      </x:c>
      <x:c r="O4" s="16" t="str">
        <x:v>Method note</x:v>
      </x:c>
      <x:c r="P4" s="16" t="str">
        <x:v>Annualized attributed revenue (USD)</x:v>
      </x:c>
      <x:c r="Q4" s="16" t="str">
        <x:v>IT-load MW</x:v>
      </x:c>
      <x:c r="R4" s="16" t="str">
        <x:v>Effective utilized IT MW</x:v>
      </x:c>
      <x:c r="S4" s="16" t="str">
        <x:v>Revenue ($M / effective MW-year)</x:v>
      </x:c>
      <x:c r="T4" s="17" t="str">
        <x:v>Calculation status</x:v>
      </x:c>
    </x:row>
    <x:row r="5">
      <x:c r="A5" s="19" t="str">
        <x:v>Microsoft Azure</x:v>
      </x:c>
      <x:c r="B5" s="19" t="str">
        <x:v>SEGMENT-AZURE</x:v>
      </x:c>
      <x:c r="C5" s="19" t="str">
        <x:v>Open</x:v>
      </x:c>
      <x:c r="D5" s="27"/>
      <x:c r="E5" s="29"/>
      <x:c r="F5" s="31"/>
      <x:c r="G5" s="33"/>
      <x:c r="H5" s="23"/>
      <x:c r="I5" s="35"/>
      <x:c r="J5" s="35"/>
      <x:c r="K5" s="35"/>
      <x:c r="L5" s="35"/>
      <x:c r="M5" s="19" t="str">
        <x:v>SRC-CHAT-001</x:v>
      </x:c>
      <x:c r="N5" s="19" t="str">
        <x:v>OPEN</x:v>
      </x:c>
      <x:c r="O5" s="43" t="str">
        <x:v>Needs matching AI revenue attribution and average AI IT MW</x:v>
      </x:c>
      <x:c r="P5" s="37" t="str">
        <x:f>IF(OR(D5="",E5="",F5=""),"",D5*E5*F5)</x:f>
      </x:c>
      <x:c r="Q5" s="39" t="str">
        <x:f>IF(G5="","",IF(H5="IT load",G5,IF(H5="Facility power",IF(I5="","",G5/I5),IF(H5="Generation",IF(OR(I5="",J5="",K5=""),"",G5*J5*K5/I5),IF(H5="Effective utilized IT",G5,"")))))</x:f>
      </x:c>
      <x:c r="R5" s="39" t="str">
        <x:f>IF(Q5="","",IF(H5="Effective utilized IT",Q5,IF(L5="","",Q5*L5)))</x:f>
      </x:c>
      <x:c r="S5" s="41" t="str">
        <x:f>IF(OR(P5="",R5="",R5=0),"",P5/R5/1000000)</x:f>
      </x:c>
      <x:c r="T5" s="25" t="str">
        <x:f>IF(S5&lt;&gt;"","Calculated",IF(OR(N5="VENDOR ONLY",N5="CAPEX ONLY"),"Not an operator output","Missing numerator or denominator"))</x:f>
        <x:v>Missing numerator or denominator</x:v>
      </x:c>
    </x:row>
    <x:row r="6">
      <x:c r="A6" s="19" t="str">
        <x:v>Amazon AWS</x:v>
      </x:c>
      <x:c r="B6" s="19" t="str">
        <x:v>SEGMENT-AWS</x:v>
      </x:c>
      <x:c r="C6" s="19" t="str">
        <x:v>Open</x:v>
      </x:c>
      <x:c r="D6" s="27"/>
      <x:c r="E6" s="29"/>
      <x:c r="F6" s="31"/>
      <x:c r="G6" s="33"/>
      <x:c r="H6" s="23"/>
      <x:c r="I6" s="35"/>
      <x:c r="J6" s="35"/>
      <x:c r="K6" s="35"/>
      <x:c r="L6" s="35"/>
      <x:c r="M6" s="19" t="str">
        <x:v>SRC-CHAT-001</x:v>
      </x:c>
      <x:c r="N6" s="19" t="str">
        <x:v>OPEN</x:v>
      </x:c>
      <x:c r="O6" s="43" t="str">
        <x:v>Needs matching AI revenue attribution and average AI IT MW</x:v>
      </x:c>
      <x:c r="P6" s="37" t="str">
        <x:f>IF(OR(D6="",E6="",F6=""),"",D6*E6*F6)</x:f>
      </x:c>
      <x:c r="Q6" s="39" t="str">
        <x:f>IF(G6="","",IF(H6="IT load",G6,IF(H6="Facility power",IF(I6="","",G6/I6),IF(H6="Generation",IF(OR(I6="",J6="",K6=""),"",G6*J6*K6/I6),IF(H6="Effective utilized IT",G6,"")))))</x:f>
      </x:c>
      <x:c r="R6" s="39" t="str">
        <x:f>IF(Q6="","",IF(H6="Effective utilized IT",Q6,IF(L6="","",Q6*L6)))</x:f>
      </x:c>
      <x:c r="S6" s="41" t="str">
        <x:f>IF(OR(P6="",R6="",R6=0),"",P6/R6/1000000)</x:f>
      </x:c>
      <x:c r="T6" s="25" t="str">
        <x:f>IF(S6&lt;&gt;"","Calculated",IF(OR(N6="VENDOR ONLY",N6="CAPEX ONLY"),"Not an operator output","Missing numerator or denominator"))</x:f>
        <x:v>Missing numerator or denominator</x:v>
      </x:c>
    </x:row>
    <x:row r="7">
      <x:c r="A7" s="19" t="str">
        <x:v>Alphabet Google Cloud</x:v>
      </x:c>
      <x:c r="B7" s="19" t="str">
        <x:v>SEGMENT-GCP</x:v>
      </x:c>
      <x:c r="C7" s="19" t="str">
        <x:v>Open</x:v>
      </x:c>
      <x:c r="D7" s="27"/>
      <x:c r="E7" s="29"/>
      <x:c r="F7" s="31"/>
      <x:c r="G7" s="33"/>
      <x:c r="H7" s="23"/>
      <x:c r="I7" s="35"/>
      <x:c r="J7" s="35"/>
      <x:c r="K7" s="35"/>
      <x:c r="L7" s="35"/>
      <x:c r="M7" s="19" t="str">
        <x:v>SRC-CHAT-001</x:v>
      </x:c>
      <x:c r="N7" s="19" t="str">
        <x:v>OPEN</x:v>
      </x:c>
      <x:c r="O7" s="43" t="str">
        <x:v>Needs external GCP AI numerator separate from internal TPU use</x:v>
      </x:c>
      <x:c r="P7" s="37" t="str">
        <x:f>IF(OR(D7="",E7="",F7=""),"",D7*E7*F7)</x:f>
      </x:c>
      <x:c r="Q7" s="39" t="str">
        <x:f>IF(G7="","",IF(H7="IT load",G7,IF(H7="Facility power",IF(I7="","",G7/I7),IF(H7="Generation",IF(OR(I7="",J7="",K7=""),"",G7*J7*K7/I7),IF(H7="Effective utilized IT",G7,"")))))</x:f>
      </x:c>
      <x:c r="R7" s="39" t="str">
        <x:f>IF(Q7="","",IF(H7="Effective utilized IT",Q7,IF(L7="","",Q7*L7)))</x:f>
      </x:c>
      <x:c r="S7" s="41" t="str">
        <x:f>IF(OR(P7="",R7="",R7=0),"",P7/R7/1000000)</x:f>
      </x:c>
      <x:c r="T7" s="25" t="str">
        <x:f>IF(S7&lt;&gt;"","Calculated",IF(OR(N7="VENDOR ONLY",N7="CAPEX ONLY"),"Not an operator output","Missing numerator or denominator"))</x:f>
        <x:v>Missing numerator or denominator</x:v>
      </x:c>
    </x:row>
    <x:row r="8">
      <x:c r="A8" s="19" t="str">
        <x:v>Meta</x:v>
      </x:c>
      <x:c r="B8" s="19" t="str">
        <x:v>INTERNAL-META</x:v>
      </x:c>
      <x:c r="C8" s="19" t="str">
        <x:v>Open</x:v>
      </x:c>
      <x:c r="D8" s="27"/>
      <x:c r="E8" s="29"/>
      <x:c r="F8" s="31"/>
      <x:c r="G8" s="33"/>
      <x:c r="H8" s="23"/>
      <x:c r="I8" s="35"/>
      <x:c r="J8" s="35"/>
      <x:c r="K8" s="35"/>
      <x:c r="L8" s="35"/>
      <x:c r="M8" s="19" t="str">
        <x:v>SRC-CHAT-001</x:v>
      </x:c>
      <x:c r="N8" s="19" t="str">
        <x:v>OPEN</x:v>
      </x:c>
      <x:c r="O8" s="43" t="str">
        <x:v>Needs incremental monetization bridge; total ad revenue prohibited</x:v>
      </x:c>
      <x:c r="P8" s="37" t="str">
        <x:f>IF(OR(D8="",E8="",F8=""),"",D8*E8*F8)</x:f>
      </x:c>
      <x:c r="Q8" s="39" t="str">
        <x:f>IF(G8="","",IF(H8="IT load",G8,IF(H8="Facility power",IF(I8="","",G8/I8),IF(H8="Generation",IF(OR(I8="",J8="",K8=""),"",G8*J8*K8/I8),IF(H8="Effective utilized IT",G8,"")))))</x:f>
      </x:c>
      <x:c r="R8" s="39" t="str">
        <x:f>IF(Q8="","",IF(H8="Effective utilized IT",Q8,IF(L8="","",Q8*L8)))</x:f>
      </x:c>
      <x:c r="S8" s="41" t="str">
        <x:f>IF(OR(P8="",R8="",R8=0),"",P8/R8/1000000)</x:f>
      </x:c>
      <x:c r="T8" s="25" t="str">
        <x:f>IF(S8&lt;&gt;"","Calculated",IF(OR(N8="VENDOR ONLY",N8="CAPEX ONLY"),"Not an operator output","Missing numerator or denominator"))</x:f>
        <x:v>Missing numerator or denominator</x:v>
      </x:c>
    </x:row>
    <x:row r="9">
      <x:c r="A9" s="19" t="str">
        <x:v>Oracle OCI</x:v>
      </x:c>
      <x:c r="B9" s="19" t="str">
        <x:v>SEGMENT-OCI</x:v>
      </x:c>
      <x:c r="C9" s="19" t="str">
        <x:v>Q1 FY2027</x:v>
      </x:c>
      <x:c r="D9" s="27" t="n">
        <x:v>7400000000</x:v>
      </x:c>
      <x:c r="E9" s="29" t="n">
        <x:v>4</x:v>
      </x:c>
      <x:c r="F9" s="31"/>
      <x:c r="G9" s="33"/>
      <x:c r="H9" s="23"/>
      <x:c r="I9" s="35"/>
      <x:c r="J9" s="35"/>
      <x:c r="K9" s="35"/>
      <x:c r="L9" s="35"/>
      <x:c r="M9" s="19" t="str">
        <x:v>SRC-ORCL-Q1FY27-20260910</x:v>
      </x:c>
      <x:c r="N9" s="19" t="str">
        <x:v>PARTIAL</x:v>
      </x:c>
      <x:c r="O9" s="43" t="str">
        <x:v>IaaS only; AI share and average IT MW missing. 850MW additions excluded; PUE undisclosed.</x:v>
      </x:c>
      <x:c r="P9" s="37" t="str">
        <x:f>IF(OR(D9="",E9="",F9=""),"",D9*E9*F9)</x:f>
      </x:c>
      <x:c r="Q9" s="39" t="str">
        <x:f>IF(G9="","",IF(H9="IT load",G9,IF(H9="Facility power",IF(I9="","",G9/I9),IF(H9="Generation",IF(OR(I9="",J9="",K9=""),"",G9*J9*K9/I9),IF(H9="Effective utilized IT",G9,"")))))</x:f>
      </x:c>
      <x:c r="R9" s="39" t="str">
        <x:f>IF(Q9="","",IF(H9="Effective utilized IT",Q9,IF(L9="","",Q9*L9)))</x:f>
      </x:c>
      <x:c r="S9" s="41" t="str">
        <x:f>IF(OR(P9="",R9="",R9=0),"",P9/R9/1000000)</x:f>
      </x:c>
      <x:c r="T9" s="25" t="str">
        <x:f>IF(S9&lt;&gt;"","Calculated",IF(OR(N9="VENDOR ONLY",N9="CAPEX ONLY"),"Not an operator output","Missing numerator or denominator"))</x:f>
        <x:v>Missing numerator or denominator</x:v>
      </x:c>
    </x:row>
    <x:row r="10">
      <x:c r="A10" s="19" t="str">
        <x:v>CoreWeave</x:v>
      </x:c>
      <x:c r="B10" s="19" t="str">
        <x:v>MERCHANT-CRWV</x:v>
      </x:c>
      <x:c r="C10" s="19" t="str">
        <x:v>Q2 2026</x:v>
      </x:c>
      <x:c r="D10" s="27" t="n">
        <x:v>2575000000</x:v>
      </x:c>
      <x:c r="E10" s="29" t="n">
        <x:v>4</x:v>
      </x:c>
      <x:c r="F10" s="31"/>
      <x:c r="G10" s="33" t="n">
        <x:v>1250</x:v>
      </x:c>
      <x:c r="H10" s="23" t="str">
        <x:v>Facility power</x:v>
      </x:c>
      <x:c r="I10" s="35"/>
      <x:c r="J10" s="35"/>
      <x:c r="K10" s="35"/>
      <x:c r="L10" s="35"/>
      <x:c r="M10" s="19" t="str">
        <x:v>SRC-CRWV-Q2FY26-ER</x:v>
      </x:c>
      <x:c r="N10" s="19" t="str">
        <x:v>PARTIAL</x:v>
      </x:c>
      <x:c r="O10" s="43" t="str">
        <x:v>All-cloud revenue and modeled period-average active-power proxy; compute mix power boundary PUE and utilization remain missing so normalized output stays blank</x:v>
      </x:c>
      <x:c r="P10" s="37" t="str">
        <x:f>IF(OR(D10="",E10="",F10=""),"",D10*E10*F10)</x:f>
      </x:c>
      <x:c r="Q10" s="39" t="str">
        <x:f>IF(G10="","",IF(H10="IT load",G10,IF(H10="Facility power",IF(I10="","",G10/I10),IF(H10="Generation",IF(OR(I10="",J10="",K10=""),"",G10*J10*K10/I10),IF(H10="Effective utilized IT",G10,"")))))</x:f>
      </x:c>
      <x:c r="R10" s="39" t="str">
        <x:f>IF(Q10="","",IF(H10="Effective utilized IT",Q10,IF(L10="","",Q10*L10)))</x:f>
      </x:c>
      <x:c r="S10" s="41" t="str">
        <x:f>IF(OR(P10="",R10="",R10=0),"",P10/R10/1000000)</x:f>
      </x:c>
      <x:c r="T10" s="25" t="str">
        <x:f>IF(S10&lt;&gt;"","Calculated",IF(OR(N10="VENDOR ONLY",N10="CAPEX ONLY"),"Not an operator output","Missing numerator or denominator"))</x:f>
        <x:v>Missing numerator or denominator</x:v>
      </x:c>
    </x:row>
    <x:row r="11">
      <x:c r="A11" s="19" t="str">
        <x:v>Nebius</x:v>
      </x:c>
      <x:c r="B11" s="19" t="str">
        <x:v>MERCHANT-NBIS</x:v>
      </x:c>
      <x:c r="C11" s="19" t="str">
        <x:v>Open</x:v>
      </x:c>
      <x:c r="D11" s="27"/>
      <x:c r="E11" s="29"/>
      <x:c r="F11" s="31"/>
      <x:c r="G11" s="33"/>
      <x:c r="H11" s="23"/>
      <x:c r="I11" s="35"/>
      <x:c r="J11" s="35"/>
      <x:c r="K11" s="35"/>
      <x:c r="L11" s="35"/>
      <x:c r="M11" s="19" t="str">
        <x:v>SRC-CHAT-001</x:v>
      </x:c>
      <x:c r="N11" s="19" t="str">
        <x:v>OPEN</x:v>
      </x:c>
      <x:c r="O11" s="43" t="str">
        <x:v>Needs active connected MW on matching revenue period</x:v>
      </x:c>
      <x:c r="P11" s="37" t="str">
        <x:f>IF(OR(D11="",E11="",F11=""),"",D11*E11*F11)</x:f>
      </x:c>
      <x:c r="Q11" s="39" t="str">
        <x:f>IF(G11="","",IF(H11="IT load",G11,IF(H11="Facility power",IF(I11="","",G11/I11),IF(H11="Generation",IF(OR(I11="",J11="",K11=""),"",G11*J11*K11/I11),IF(H11="Effective utilized IT",G11,"")))))</x:f>
      </x:c>
      <x:c r="R11" s="39" t="str">
        <x:f>IF(Q11="","",IF(H11="Effective utilized IT",Q11,IF(L11="","",Q11*L11)))</x:f>
      </x:c>
      <x:c r="S11" s="41" t="str">
        <x:f>IF(OR(P11="",R11="",R11=0),"",P11/R11/1000000)</x:f>
      </x:c>
      <x:c r="T11" s="25" t="str">
        <x:f>IF(S11&lt;&gt;"","Calculated",IF(OR(N11="VENDOR ONLY",N11="CAPEX ONLY"),"Not an operator output","Missing numerator or denominator"))</x:f>
        <x:v>Missing numerator or denominator</x:v>
      </x:c>
    </x:row>
    <x:row r="12">
      <x:c r="A12" s="19" t="str">
        <x:v>IREN</x:v>
      </x:c>
      <x:c r="B12" s="19" t="str">
        <x:v>MERCHANT-IREN</x:v>
      </x:c>
      <x:c r="C12" s="19" t="str">
        <x:v>Open</x:v>
      </x:c>
      <x:c r="D12" s="27"/>
      <x:c r="E12" s="29"/>
      <x:c r="F12" s="31"/>
      <x:c r="G12" s="33"/>
      <x:c r="H12" s="23"/>
      <x:c r="I12" s="35"/>
      <x:c r="J12" s="35"/>
      <x:c r="K12" s="35"/>
      <x:c r="L12" s="35"/>
      <x:c r="M12" s="19" t="str">
        <x:v>SRC-CHAT-001</x:v>
      </x:c>
      <x:c r="N12" s="19" t="str">
        <x:v>OPEN</x:v>
      </x:c>
      <x:c r="O12" s="43" t="str">
        <x:v>Exclude mining revenue and mining MW</x:v>
      </x:c>
      <x:c r="P12" s="37" t="str">
        <x:f>IF(OR(D12="",E12="",F12=""),"",D12*E12*F12)</x:f>
      </x:c>
      <x:c r="Q12" s="39" t="str">
        <x:f>IF(G12="","",IF(H12="IT load",G12,IF(H12="Facility power",IF(I12="","",G12/I12),IF(H12="Generation",IF(OR(I12="",J12="",K12=""),"",G12*J12*K12/I12),IF(H12="Effective utilized IT",G12,"")))))</x:f>
      </x:c>
      <x:c r="R12" s="39" t="str">
        <x:f>IF(Q12="","",IF(H12="Effective utilized IT",Q12,IF(L12="","",Q12*L12)))</x:f>
      </x:c>
      <x:c r="S12" s="41" t="str">
        <x:f>IF(OR(P12="",R12="",R12=0),"",P12/R12/1000000)</x:f>
      </x:c>
      <x:c r="T12" s="25" t="str">
        <x:f>IF(S12&lt;&gt;"","Calculated",IF(OR(N12="VENDOR ONLY",N12="CAPEX ONLY"),"Not an operator output","Missing numerator or denominator"))</x:f>
        <x:v>Missing numerator or denominator</x:v>
      </x:c>
    </x:row>
    <x:row r="13">
      <x:c r="A13" s="19" t="str">
        <x:v>Nscale / Anthropic</x:v>
      </x:c>
      <x:c r="B13" s="19" t="str">
        <x:v>CONTRACT-NSCALE</x:v>
      </x:c>
      <x:c r="C13" s="19" t="str">
        <x:v>2026 contract</x:v>
      </x:c>
      <x:c r="D13" s="27" t="n">
        <x:v>7500000000</x:v>
      </x:c>
      <x:c r="E13" s="29" t="n">
        <x:v>1</x:v>
      </x:c>
      <x:c r="F13" s="31" t="n">
        <x:v>1</x:v>
      </x:c>
      <x:c r="G13" s="33" t="n">
        <x:v>460</x:v>
      </x:c>
      <x:c r="H13" s="23" t="str">
        <x:v>IT load</x:v>
      </x:c>
      <x:c r="I13" s="35" t="n">
        <x:v>1</x:v>
      </x:c>
      <x:c r="J13" s="35" t="n">
        <x:v>1</x:v>
      </x:c>
      <x:c r="K13" s="35" t="n">
        <x:v>1</x:v>
      </x:c>
      <x:c r="L13" s="35" t="n">
        <x:v>1</x:v>
      </x:c>
      <x:c r="M13" s="19" t="str">
        <x:v>SRC-WB-NSCALE-001</x:v>
      </x:c>
      <x:c r="N13" s="19" t="str">
        <x:v>DERIVED</x:v>
      </x:c>
      <x:c r="O13" s="43" t="str">
        <x:v>$45B over six years divided by 460 MW contracted IT load</x:v>
      </x:c>
      <x:c r="P13" s="37" t="n">
        <x:f>IF(OR(D13="",E13="",F13=""),"",D13*E13*F13)</x:f>
        <x:v>7500000000</x:v>
      </x:c>
      <x:c r="Q13" s="39" t="n">
        <x:f>IF(G13="","",IF(H13="IT load",G13,IF(H13="Facility power",IF(I13="","",G13/I13),IF(H13="Generation",IF(OR(I13="",J13="",K13=""),"",G13*J13*K13/I13),IF(H13="Effective utilized IT",G13,"")))))</x:f>
        <x:v>460</x:v>
      </x:c>
      <x:c r="R13" s="39" t="n">
        <x:f>IF(Q13="","",IF(H13="Effective utilized IT",Q13,IF(L13="","",Q13*L13)))</x:f>
        <x:v>460</x:v>
      </x:c>
      <x:c r="S13" s="41" t="n">
        <x:f>IF(OR(P13="",R13="",R13=0),"",P13/R13/1000000)</x:f>
        <x:v>16.304347826086957</x:v>
      </x:c>
      <x:c r="T13" s="25" t="str">
        <x:f>IF(S13&lt;&gt;"","Calculated",IF(OR(N13="VENDOR ONLY",N13="CAPEX ONLY"),"Not an operator output","Missing numerator or denominator"))</x:f>
        <x:v>Calculated</x:v>
      </x:c>
    </x:row>
    <x:row r="14">
      <x:c r="A14" s="19" t="str">
        <x:v>xAI / SpaceX</x:v>
      </x:c>
      <x:c r="B14" s="19" t="str">
        <x:v>PROJECT-XAI</x:v>
      </x:c>
      <x:c r="C14" s="19" t="str">
        <x:v>2026</x:v>
      </x:c>
      <x:c r="D14" s="27"/>
      <x:c r="E14" s="29"/>
      <x:c r="F14" s="31"/>
      <x:c r="G14" s="33" t="n">
        <x:v>1400</x:v>
      </x:c>
      <x:c r="H14" s="23" t="str">
        <x:v>IT load</x:v>
      </x:c>
      <x:c r="I14" s="35" t="n">
        <x:v>1</x:v>
      </x:c>
      <x:c r="J14" s="35" t="n">
        <x:v>1</x:v>
      </x:c>
      <x:c r="K14" s="35" t="n">
        <x:v>1</x:v>
      </x:c>
      <x:c r="L14" s="35"/>
      <x:c r="M14" s="19" t="str">
        <x:v>SRC-WB-P2S-001</x:v>
      </x:c>
      <x:c r="N14" s="19" t="str">
        <x:v>GUIDANCE ONLY</x:v>
      </x:c>
      <x:c r="O14" s="43" t="str">
        <x:v>Capex power anchor only; Sep 10 guidance is $30-50B per stated GW-year; effective denominator unresolved</x:v>
      </x:c>
      <x:c r="P14" s="37" t="str">
        <x:f>IF(OR(D14="",E14="",F14=""),"",D14*E14*F14)</x:f>
      </x:c>
      <x:c r="Q14" s="39" t="n">
        <x:f>IF(G14="","",IF(H14="IT load",G14,IF(H14="Facility power",IF(I14="","",G14/I14),IF(H14="Generation",IF(OR(I14="",J14="",K14=""),"",G14*J14*K14/I14),IF(H14="Effective utilized IT",G14,"")))))</x:f>
        <x:v>1400</x:v>
      </x:c>
      <x:c r="R14" s="39" t="str">
        <x:f>IF(Q14="","",IF(H14="Effective utilized IT",Q14,IF(L14="","",Q14*L14)))</x:f>
      </x:c>
      <x:c r="S14" s="41" t="str">
        <x:f>IF(OR(P14="",R14="",R14=0),"",P14/R14/1000000)</x:f>
      </x:c>
      <x:c r="T14" s="25" t="str">
        <x:f>IF(S14&lt;&gt;"","Calculated",IF(OR(N14="VENDOR ONLY",N14="CAPEX ONLY"),"Not an operator output","Missing numerator or denominator"))</x:f>
        <x:v>Missing numerator or denominator</x:v>
      </x:c>
    </x:row>
    <x:row r="15">
      <x:c r="A15" s="19" t="str">
        <x:v>OpenAI / Stargate</x:v>
      </x:c>
      <x:c r="B15" s="19" t="str">
        <x:v>PROJECT-STARGATE</x:v>
      </x:c>
      <x:c r="C15" s="19" t="str">
        <x:v>2026</x:v>
      </x:c>
      <x:c r="D15" s="27"/>
      <x:c r="E15" s="29"/>
      <x:c r="F15" s="31"/>
      <x:c r="G15" s="33" t="n">
        <x:v>1000</x:v>
      </x:c>
      <x:c r="H15" s="23" t="str">
        <x:v>IT load</x:v>
      </x:c>
      <x:c r="I15" s="35" t="n">
        <x:v>1</x:v>
      </x:c>
      <x:c r="J15" s="35" t="n">
        <x:v>1</x:v>
      </x:c>
      <x:c r="K15" s="35" t="n">
        <x:v>1</x:v>
      </x:c>
      <x:c r="L15" s="35"/>
      <x:c r="M15" s="19" t="str">
        <x:v>SRC-WB-P2S-001</x:v>
      </x:c>
      <x:c r="N15" s="19" t="str">
        <x:v>CAPEX ONLY</x:v>
      </x:c>
      <x:c r="O15" s="43" t="str">
        <x:v>Revenue numerator not disclosed; power used for capex benchmark only</x:v>
      </x:c>
      <x:c r="P15" s="37" t="str">
        <x:f>IF(OR(D15="",E15="",F15=""),"",D15*E15*F15)</x:f>
      </x:c>
      <x:c r="Q15" s="39" t="n">
        <x:f>IF(G15="","",IF(H15="IT load",G15,IF(H15="Facility power",IF(I15="","",G15/I15),IF(H15="Generation",IF(OR(I15="",J15="",K15=""),"",G15*J15*K15/I15),IF(H15="Effective utilized IT",G15,"")))))</x:f>
        <x:v>1000</x:v>
      </x:c>
      <x:c r="R15" s="39" t="str">
        <x:f>IF(Q15="","",IF(H15="Effective utilized IT",Q15,IF(L15="","",Q15*L15)))</x:f>
      </x:c>
      <x:c r="S15" s="41" t="str">
        <x:f>IF(OR(P15="",R15="",R15=0),"",P15/R15/1000000)</x:f>
      </x:c>
      <x:c r="T15" s="25" t="str">
        <x:f>IF(S15&lt;&gt;"","Calculated",IF(OR(N15="VENDOR ONLY",N15="CAPEX ONLY"),"Not an operator output","Missing numerator or denominator"))</x:f>
        <x:v>Not an operator output</x:v>
      </x:c>
    </x:row>
    <x:row r="16">
      <x:c r="A16" s="19" t="str">
        <x:v>NVIDIA</x:v>
      </x:c>
      <x:c r="B16" s="19" t="str">
        <x:v>VENDOR-NVDA</x:v>
      </x:c>
      <x:c r="C16" s="19" t="str">
        <x:v>Generation anchors</x:v>
      </x:c>
      <x:c r="D16" s="27"/>
      <x:c r="E16" s="29"/>
      <x:c r="F16" s="31"/>
      <x:c r="G16" s="33" t="n">
        <x:v>1000</x:v>
      </x:c>
      <x:c r="H16" s="23" t="str">
        <x:v>IT load</x:v>
      </x:c>
      <x:c r="I16" s="35" t="n">
        <x:v>1</x:v>
      </x:c>
      <x:c r="J16" s="35" t="n">
        <x:v>1</x:v>
      </x:c>
      <x:c r="K16" s="35" t="n">
        <x:v>1</x:v>
      </x:c>
      <x:c r="L16" s="35"/>
      <x:c r="M16" s="19" t="str">
        <x:v>SRC-NVDA-Q2FY27-001</x:v>
      </x:c>
      <x:c r="N16" s="19" t="str">
        <x:v>VENDOR ONLY</x:v>
      </x:c>
      <x:c r="O16" s="43" t="str">
        <x:v>Use silicon content per GW; not operator revenue per MW</x:v>
      </x:c>
      <x:c r="P16" s="37" t="str">
        <x:f>IF(OR(D16="",E16="",F16=""),"",D16*E16*F16)</x:f>
      </x:c>
      <x:c r="Q16" s="39" t="n">
        <x:f>IF(G16="","",IF(H16="IT load",G16,IF(H16="Facility power",IF(I16="","",G16/I16),IF(H16="Generation",IF(OR(I16="",J16="",K16=""),"",G16*J16*K16/I16),IF(H16="Effective utilized IT",G16,"")))))</x:f>
        <x:v>1000</x:v>
      </x:c>
      <x:c r="R16" s="39" t="str">
        <x:f>IF(Q16="","",IF(H16="Effective utilized IT",Q16,IF(L16="","",Q16*L16)))</x:f>
      </x:c>
      <x:c r="S16" s="41" t="str">
        <x:f>IF(OR(P16="",R16="",R16=0),"",P16/R16/1000000)</x:f>
      </x:c>
      <x:c r="T16" s="25" t="str">
        <x:f>IF(S16&lt;&gt;"","Calculated",IF(OR(N16="VENDOR ONLY",N16="CAPEX ONLY"),"Not an operator output","Missing numerator or denominator"))</x:f>
        <x:v>Not an operator output</x:v>
      </x:c>
    </x:row>
    <x:row r="17">
      <x:c r="A17" s="20" t="str">
        <x:v>Broadcom</x:v>
      </x:c>
      <x:c r="B17" s="20" t="str">
        <x:v>VENDOR-AVGO</x:v>
      </x:c>
      <x:c r="C17" s="20" t="str">
        <x:v>Open</x:v>
      </x:c>
      <x:c r="D17" s="28"/>
      <x:c r="E17" s="30"/>
      <x:c r="F17" s="32"/>
      <x:c r="G17" s="34" t="n">
        <x:v>1000</x:v>
      </x:c>
      <x:c r="H17" s="24" t="str">
        <x:v>IT load</x:v>
      </x:c>
      <x:c r="I17" s="36" t="n">
        <x:v>1</x:v>
      </x:c>
      <x:c r="J17" s="36" t="n">
        <x:v>1</x:v>
      </x:c>
      <x:c r="K17" s="36" t="n">
        <x:v>1</x:v>
      </x:c>
      <x:c r="L17" s="36"/>
      <x:c r="M17" s="20" t="str">
        <x:v>SRC-WB-P2S-001</x:v>
      </x:c>
      <x:c r="N17" s="20" t="str">
        <x:v>VENDOR ONLY</x:v>
      </x:c>
      <x:c r="O17" s="44" t="str">
        <x:v>Custom silicon only; architecture mix required</x:v>
      </x:c>
      <x:c r="P17" s="38" t="str">
        <x:f>IF(OR(D17="",E17="",F17=""),"",D17*E17*F17)</x:f>
      </x:c>
      <x:c r="Q17" s="40" t="n">
        <x:f>IF(G17="","",IF(H17="IT load",G17,IF(H17="Facility power",IF(I17="","",G17/I17),IF(H17="Generation",IF(OR(I17="",J17="",K17=""),"",G17*J17*K17/I17),IF(H17="Effective utilized IT",G17,"")))))</x:f>
        <x:v>1000</x:v>
      </x:c>
      <x:c r="R17" s="40" t="str">
        <x:f>IF(Q17="","",IF(H17="Effective utilized IT",Q17,IF(L17="","",Q17*L17)))</x:f>
      </x:c>
      <x:c r="S17" s="42" t="str">
        <x:f>IF(OR(P17="",R17="",R17=0),"",P17/R17/1000000)</x:f>
      </x:c>
      <x:c r="T17" s="26" t="str">
        <x:f>IF(S17&lt;&gt;"","Calculated",IF(OR(N17="VENDOR ONLY",N17="CAPEX ONLY"),"Not an operator output","Missing numerator or denominator"))</x:f>
        <x:v>Not an operator output</x:v>
      </x:c>
    </x:row>
  </x:sheetData>
  <x:conditionalFormatting sqref="T5:T17">
    <x:cfRule type="containsText" dxfId="0" priority="1" operator="containsText" text="Missing"/>
    <x:cfRule type="containsText" dxfId="1" priority="2" operator="containsText" text="Calculated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5B8DB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3" hidden="0" customWidth="1"/>
    <x:col min="3" max="3" width="18" hidden="0" customWidth="1"/>
    <x:col min="4" max="4" width="42" hidden="0" customWidth="1"/>
    <x:col min="5" max="5" width="38" hidden="0" customWidth="1"/>
    <x:col min="6" max="6" width="48" hidden="0" customWidth="1"/>
    <x:col min="7" max="7" width="24" hidden="0" customWidth="1"/>
  </x:cols>
  <x:sheetData>
    <x:row r="2">
      <x:c r="A2" s="2" t="str">
        <x:v>Company method registry</x:v>
      </x:c>
      <x:c r="B2" s="1"/>
      <x:c r="C2" s="1"/>
      <x:c r="D2" s="1"/>
      <x:c r="E2" s="1"/>
      <x:c r="F2" s="1"/>
      <x:c r="G2" s="1"/>
    </x:row>
    <x:row r="3">
      <x:c r="A3" s="3" t="str">
        <x:v>The normalized output is shared; each company's numerator and denominator logic remains explicit.</x:v>
      </x:c>
      <x:c r="B3" s="3"/>
      <x:c r="C3" s="3"/>
      <x:c r="D3" s="3"/>
      <x:c r="E3" s="3"/>
      <x:c r="F3" s="3"/>
      <x:c r="G3" s="3"/>
    </x:row>
    <x:row r="4" ht="32" customHeight="1">
      <x:c r="A4" s="15" t="str">
        <x:v>Method ID</x:v>
      </x:c>
      <x:c r="B4" s="16" t="str">
        <x:v>Company</x:v>
      </x:c>
      <x:c r="C4" s="16" t="str">
        <x:v>Role</x:v>
      </x:c>
      <x:c r="D4" s="16" t="str">
        <x:v>Numerator</x:v>
      </x:c>
      <x:c r="E4" s="16" t="str">
        <x:v>Denominator</x:v>
      </x:c>
      <x:c r="F4" s="16" t="str">
        <x:v>Unique adjustment</x:v>
      </x:c>
      <x:c r="G4" s="17" t="str">
        <x:v>Status</x:v>
      </x:c>
    </x:row>
    <x:row r="5">
      <x:c r="A5" s="19" t="str">
        <x:v>SEGMENT-AZURE</x:v>
      </x:c>
      <x:c r="B5" s="19" t="str">
        <x:v>Microsoft Azure</x:v>
      </x:c>
      <x:c r="C5" s="43" t="str">
        <x:v>Hyperscaler</x:v>
      </x:c>
      <x:c r="D5" s="43" t="str">
        <x:v>Annualized Azure or Intelligent Cloud revenue attributable to AI compute</x:v>
      </x:c>
      <x:c r="E5" s="43" t="str">
        <x:v>Average effective utilized Azure AI IT MW</x:v>
      </x:c>
      <x:c r="F5" s="43" t="str">
        <x:v>Isolate AI contribution and non-compute services</x:v>
      </x:c>
      <x:c r="G5" s="43" t="str">
        <x:v>Configured; inputs open</x:v>
      </x:c>
    </x:row>
    <x:row r="6">
      <x:c r="A6" s="19" t="str">
        <x:v>SEGMENT-AWS</x:v>
      </x:c>
      <x:c r="B6" s="19" t="str">
        <x:v>Amazon AWS</x:v>
      </x:c>
      <x:c r="C6" s="43" t="str">
        <x:v>Hyperscaler</x:v>
      </x:c>
      <x:c r="D6" s="43" t="str">
        <x:v>Annualized AWS revenue attributable to AI compute</x:v>
      </x:c>
      <x:c r="E6" s="43" t="str">
        <x:v>Average effective utilized AWS AI IT MW</x:v>
      </x:c>
      <x:c r="F6" s="43" t="str">
        <x:v>Separate Trainium Inferentia and third-party GPU workloads</x:v>
      </x:c>
      <x:c r="G6" s="43" t="str">
        <x:v>Configured; inputs open</x:v>
      </x:c>
    </x:row>
    <x:row r="7">
      <x:c r="A7" s="19" t="str">
        <x:v>SEGMENT-GCP</x:v>
      </x:c>
      <x:c r="B7" s="19" t="str">
        <x:v>Alphabet Google Cloud</x:v>
      </x:c>
      <x:c r="C7" s="43" t="str">
        <x:v>Hyperscaler</x:v>
      </x:c>
      <x:c r="D7" s="43" t="str">
        <x:v>Annualized Google Cloud revenue attributable to AI compute</x:v>
      </x:c>
      <x:c r="E7" s="43" t="str">
        <x:v>Average effective utilized GCP AI IT MW</x:v>
      </x:c>
      <x:c r="F7" s="43" t="str">
        <x:v>Separate internal Search and YouTube from external GCP; TPU ownership</x:v>
      </x:c>
      <x:c r="G7" s="43" t="str">
        <x:v>Configured; inputs open</x:v>
      </x:c>
    </x:row>
    <x:row r="8">
      <x:c r="A8" s="19" t="str">
        <x:v>INTERNAL-META</x:v>
      </x:c>
      <x:c r="B8" s="19" t="str">
        <x:v>Meta</x:v>
      </x:c>
      <x:c r="C8" s="43" t="str">
        <x:v>Internal compute</x:v>
      </x:c>
      <x:c r="D8" s="43" t="str">
        <x:v>Incremental ad or engagement revenue plus external Meta Compute revenue attributable to AI</x:v>
      </x:c>
      <x:c r="E8" s="43" t="str">
        <x:v>Average effective utilized Meta AI IT MW</x:v>
      </x:c>
      <x:c r="F8" s="43" t="str">
        <x:v>Never use total advertising revenue; keep internal and external cases separate</x:v>
      </x:c>
      <x:c r="G8" s="43" t="str">
        <x:v>Configured; inputs open</x:v>
      </x:c>
    </x:row>
    <x:row r="9">
      <x:c r="A9" s="19" t="str">
        <x:v>SEGMENT-OCI</x:v>
      </x:c>
      <x:c r="B9" s="19" t="str">
        <x:v>Oracle OCI</x:v>
      </x:c>
      <x:c r="C9" s="43" t="str">
        <x:v>Hyperscaler</x:v>
      </x:c>
      <x:c r="D9" s="43" t="str">
        <x:v>Recognized AI compute within OCI less hardware pass-through</x:v>
      </x:c>
      <x:c r="E9" s="43" t="str">
        <x:v>Time-weighted active AI IT MW and matching utilization</x:v>
      </x:c>
      <x:c r="F9" s="43" t="str">
        <x:v>Exclude RPO and prepayment cash; no use of capacity additions as denominator</x:v>
      </x:c>
      <x:c r="G9" s="43" t="str">
        <x:v>Partial 2026-09-11; PUE not disclosed</x:v>
      </x:c>
    </x:row>
    <x:row r="10">
      <x:c r="A10" s="19" t="str">
        <x:v>MERCHANT-CRWV</x:v>
      </x:c>
      <x:c r="B10" s="19" t="str">
        <x:v>CoreWeave</x:v>
      </x:c>
      <x:c r="C10" s="43" t="str">
        <x:v>Neocloud</x:v>
      </x:c>
      <x:c r="D10" s="43" t="str">
        <x:v>Annualized compute-only revenue</x:v>
      </x:c>
      <x:c r="E10" s="43" t="str">
        <x:v>Weighted-average active IT MW times utilization</x:v>
      </x:c>
      <x:c r="F10" s="43" t="str">
        <x:v>Remove storage networking and software; reconstruct average capacity; resolve active-power boundary and PUE</x:v>
      </x:c>
      <x:c r="G10" s="43" t="str">
        <x:v>Partial 2026-09-12; canonical output open</x:v>
      </x:c>
    </x:row>
    <x:row r="11">
      <x:c r="A11" s="19" t="str">
        <x:v>MERCHANT-NBIS</x:v>
      </x:c>
      <x:c r="B11" s="19" t="str">
        <x:v>Nebius</x:v>
      </x:c>
      <x:c r="C11" s="43" t="str">
        <x:v>Neocloud</x:v>
      </x:c>
      <x:c r="D11" s="43" t="str">
        <x:v>Annualized AI infrastructure revenue</x:v>
      </x:c>
      <x:c r="E11" s="43" t="str">
        <x:v>Weighted-average connected active IT MW times utilization</x:v>
      </x:c>
      <x:c r="F11" s="43" t="str">
        <x:v>Separate active reserved and planned capacity</x:v>
      </x:c>
      <x:c r="G11" s="43" t="str">
        <x:v>Configured; inputs open</x:v>
      </x:c>
    </x:row>
    <x:row r="12">
      <x:c r="A12" s="19" t="str">
        <x:v>MERCHANT-IREN</x:v>
      </x:c>
      <x:c r="B12" s="19" t="str">
        <x:v>IREN</x:v>
      </x:c>
      <x:c r="C12" s="43" t="str">
        <x:v>Neocloud</x:v>
      </x:c>
      <x:c r="D12" s="43" t="str">
        <x:v>Annualized AI cloud and services revenue only</x:v>
      </x:c>
      <x:c r="E12" s="43" t="str">
        <x:v>Average active AI IT MW times utilization</x:v>
      </x:c>
      <x:c r="F12" s="43" t="str">
        <x:v>Exclude Bitcoin mining revenue and mining power</x:v>
      </x:c>
      <x:c r="G12" s="43" t="str">
        <x:v>Configured; inputs open</x:v>
      </x:c>
    </x:row>
    <x:row r="13">
      <x:c r="A13" s="19" t="str">
        <x:v>CONTRACT-NSCALE</x:v>
      </x:c>
      <x:c r="B13" s="19" t="str">
        <x:v>Nscale / Anthropic</x:v>
      </x:c>
      <x:c r="C13" s="43" t="str">
        <x:v>Contracted compute</x:v>
      </x:c>
      <x:c r="D13" s="43" t="str">
        <x:v>Annual contract value</x:v>
      </x:c>
      <x:c r="E13" s="43" t="str">
        <x:v>Contracted IT-load MW</x:v>
      </x:c>
      <x:c r="F13" s="43" t="str">
        <x:v>Keep contract rate separate from physical utilization</x:v>
      </x:c>
      <x:c r="G13" s="43" t="str">
        <x:v>Active anchor</x:v>
      </x:c>
    </x:row>
    <x:row r="14">
      <x:c r="A14" s="19" t="str">
        <x:v>PROJECT-XAI</x:v>
      </x:c>
      <x:c r="B14" s="19" t="str">
        <x:v>xAI / SpaceX</x:v>
      </x:c>
      <x:c r="C14" s="43" t="str">
        <x:v>Reference operator</x:v>
      </x:c>
      <x:c r="D14" s="43" t="str">
        <x:v>Recognized external compute revenue when reconciled</x:v>
      </x:c>
      <x:c r="E14" s="43" t="str">
        <x:v>Average effective Colossus IT MW</x:v>
      </x:c>
      <x:c r="F14" s="43" t="str">
        <x:v>Retain capex benchmark; separate Sep 10 monetization guidance until power scope reconciled</x:v>
      </x:c>
      <x:c r="G14" s="43" t="str">
        <x:v>Capex anchor plus management guidance</x:v>
      </x:c>
    </x:row>
    <x:row r="15">
      <x:c r="A15" s="19" t="str">
        <x:v>PROJECT-STARGATE</x:v>
      </x:c>
      <x:c r="B15" s="19" t="str">
        <x:v>OpenAI / Stargate</x:v>
      </x:c>
      <x:c r="C15" s="43" t="str">
        <x:v>Reference project</x:v>
      </x:c>
      <x:c r="D15" s="43" t="str">
        <x:v>Recognized or contracted compute revenue</x:v>
      </x:c>
      <x:c r="E15" s="43" t="str">
        <x:v>Contracted or active IT-load MW</x:v>
      </x:c>
      <x:c r="F15" s="43" t="str">
        <x:v>Separate financing and total campus spend from revenue</x:v>
      </x:c>
      <x:c r="G15" s="43" t="str">
        <x:v>Capex anchor only</x:v>
      </x:c>
    </x:row>
    <x:row r="16">
      <x:c r="A16" s="19" t="str">
        <x:v>VENDOR-NVDA</x:v>
      </x:c>
      <x:c r="B16" s="19" t="str">
        <x:v>NVIDIA</x:v>
      </x:c>
      <x:c r="C16" s="43" t="str">
        <x:v>Silicon vendor</x:v>
      </x:c>
      <x:c r="D16" s="43" t="str">
        <x:v>Accelerator networking and systems content</x:v>
      </x:c>
      <x:c r="E16" s="43" t="str">
        <x:v>Deployed IT-load GW</x:v>
      </x:c>
      <x:c r="F16" s="43" t="str">
        <x:v>Generation-specific content ladder is not operator revenue</x:v>
      </x:c>
      <x:c r="G16" s="43" t="str">
        <x:v>Vendor anchor</x:v>
      </x:c>
    </x:row>
    <x:row r="17">
      <x:c r="A17" s="20" t="str">
        <x:v>VENDOR-AVGO</x:v>
      </x:c>
      <x:c r="B17" s="20" t="str">
        <x:v>Broadcom</x:v>
      </x:c>
      <x:c r="C17" s="44" t="str">
        <x:v>Silicon vendor</x:v>
      </x:c>
      <x:c r="D17" s="44" t="str">
        <x:v>Custom accelerator and networking revenue attributable to capacity</x:v>
      </x:c>
      <x:c r="E17" s="44" t="str">
        <x:v>Deployed IT-load GW</x:v>
      </x:c>
      <x:c r="F17" s="44" t="str">
        <x:v>Preserve custom-only perimeter and architecture mix</x:v>
      </x:c>
      <x:c r="G17" s="44" t="str">
        <x:v>Configured; inputs partial</x:v>
      </x:c>
    </x:row>
  </x:sheetData>
  <x:pageMargins left="0.7" right="0.7" top="0.75" bottom="0.75" header="0.3" footer="0.3"/>
  <x:tableParts count="1">
    <x:tablePart xmlns:r="http://schemas.openxmlformats.org/officeDocument/2006/relationships" r:id="R473e72239eb340db"/>
  </x:tableParts>
</x:worksheet>
</file>

<file path=xl/worksheets/sheet4.xml><?xml version="1.0" encoding="utf-8"?>
<x:worksheet xmlns:x="http://schemas.openxmlformats.org/spreadsheetml/2006/main">
  <x:sheetPr>
    <x:tabColor rgb="FF2C628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8" hidden="0" customWidth="1"/>
    <x:col min="3" max="3" width="35" hidden="0" customWidth="1"/>
    <x:col min="4" max="4" width="14" hidden="0" customWidth="1"/>
    <x:col min="5" max="5" width="24" hidden="0" customWidth="1"/>
    <x:col min="6" max="6" width="12" hidden="0" customWidth="1"/>
    <x:col min="7" max="7" width="22" hidden="0" customWidth="1"/>
    <x:col min="8" max="8" width="18" hidden="0" customWidth="1"/>
    <x:col min="9" max="9" width="44" hidden="0" customWidth="1"/>
    <x:col min="10" max="10" width="3" hidden="0" customWidth="1"/>
    <x:col min="11" max="11" width="30" hidden="0" customWidth="1"/>
    <x:col min="12" max="12" width="16" hidden="0" customWidth="1"/>
    <x:col min="13" max="13" width="34" hidden="0" customWidth="1"/>
  </x:cols>
  <x:sheetData>
    <x:row r="2">
      <x:c r="A2" s="2" t="str">
        <x:v>Token economics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>
      <x:c r="A3" s="3" t="str">
        <x:v>Dated observations remain platform-specific. The Jevons calculator uses realized price, volume, and spend identities.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</x:row>
    <x:row r="4" ht="32" customHeight="1">
      <x:c r="A4" s="15" t="str">
        <x:v>Date</x:v>
      </x:c>
      <x:c r="B4" s="16" t="str">
        <x:v>Dataset</x:v>
      </x:c>
      <x:c r="C4" s="16" t="str">
        <x:v>Metric</x:v>
      </x:c>
      <x:c r="D4" s="16" t="str">
        <x:v>Value</x:v>
      </x:c>
      <x:c r="E4" s="16" t="str">
        <x:v>Unit</x:v>
      </x:c>
      <x:c r="F4" s="16" t="str">
        <x:v>Window</x:v>
      </x:c>
      <x:c r="G4" s="16" t="str">
        <x:v>Source ID</x:v>
      </x:c>
      <x:c r="H4" s="16" t="str">
        <x:v>Evidence state</x:v>
      </x:c>
      <x:c r="I4" s="17" t="str">
        <x:v>Notes</x:v>
      </x:c>
      <x:c r="K4" s="15" t="str">
        <x:v>July 2026 Jevons test</x:v>
      </x:c>
      <x:c r="L4" s="16" t="str">
        <x:v>Value</x:v>
      </x:c>
      <x:c r="M4" s="17" t="str">
        <x:v>Formula / meaning</x:v>
      </x:c>
    </x:row>
    <x:row r="5">
      <x:c r="A5" s="45" t="n">
        <x:v>46234</x:v>
      </x:c>
      <x:c r="B5" s="19" t="str">
        <x:v>Vercel</x:v>
      </x:c>
      <x:c r="C5" s="19" t="str">
        <x:v>Token volume growth</x:v>
      </x:c>
      <x:c r="D5" s="47" t="n">
        <x:v>0.59</x:v>
      </x:c>
      <x:c r="E5" s="19" t="str">
        <x:v>percent</x:v>
      </x:c>
      <x:c r="F5" s="19" t="str">
        <x:v>MoM</x:v>
      </x:c>
      <x:c r="G5" s="19" t="str">
        <x:v>SRC-VERCEL-JUL26-001</x:v>
      </x:c>
      <x:c r="H5" s="19" t="str">
        <x:v>Reported</x:v>
      </x:c>
      <x:c r="I5" s="43" t="str">
        <x:v>Production gateway sample</x:v>
      </x:c>
      <x:c r="K5" s="18" t="str">
        <x:v>Realized price decline</x:v>
      </x:c>
      <x:c r="L5" s="53" t="n">
        <x:v>0.136</x:v>
      </x:c>
      <x:c r="M5" s="18" t="str">
        <x:v>Observed</x:v>
      </x:c>
    </x:row>
    <x:row r="6">
      <x:c r="A6" s="45" t="n">
        <x:v>46234</x:v>
      </x:c>
      <x:c r="B6" s="19" t="str">
        <x:v>Vercel</x:v>
      </x:c>
      <x:c r="C6" s="19" t="str">
        <x:v>Spend growth</x:v>
      </x:c>
      <x:c r="D6" s="47" t="n">
        <x:v>0.37</x:v>
      </x:c>
      <x:c r="E6" s="19" t="str">
        <x:v>percent</x:v>
      </x:c>
      <x:c r="F6" s="19" t="str">
        <x:v>MoM</x:v>
      </x:c>
      <x:c r="G6" s="19" t="str">
        <x:v>SRC-VERCEL-JUL26-001</x:v>
      </x:c>
      <x:c r="H6" s="19" t="str">
        <x:v>Reported</x:v>
      </x:c>
      <x:c r="I6" s="43" t="str">
        <x:v>Production gateway sample</x:v>
      </x:c>
      <x:c r="K6" s="18" t="str">
        <x:v>Exact volume break-even</x:v>
      </x:c>
      <x:c r="L6" s="53" t="n">
        <x:f>L5/(1-L5)</x:f>
        <x:v>0.1574074074074074</x:v>
      </x:c>
      <x:c r="M6" s="18" t="str">
        <x:v>d / (1 - d)</x:v>
      </x:c>
    </x:row>
    <x:row r="7">
      <x:c r="A7" s="45" t="n">
        <x:v>46234</x:v>
      </x:c>
      <x:c r="B7" s="19" t="str">
        <x:v>Vercel</x:v>
      </x:c>
      <x:c r="C7" s="19" t="str">
        <x:v>Realized price per token growth</x:v>
      </x:c>
      <x:c r="D7" s="47" t="n">
        <x:v>-0.136</x:v>
      </x:c>
      <x:c r="E7" s="19" t="str">
        <x:v>percent</x:v>
      </x:c>
      <x:c r="F7" s="19" t="str">
        <x:v>MoM</x:v>
      </x:c>
      <x:c r="G7" s="19" t="str">
        <x:v>SRC-VERCEL-JUL26-001</x:v>
      </x:c>
      <x:c r="H7" s="19" t="str">
        <x:v>Derived from production index</x:v>
      </x:c>
      <x:c r="I7" s="43" t="str">
        <x:v>Routing and mix drove decline</x:v>
      </x:c>
      <x:c r="K7" s="18" t="str">
        <x:v>Observed token-volume growth</x:v>
      </x:c>
      <x:c r="L7" s="53" t="n">
        <x:v>0.59</x:v>
      </x:c>
      <x:c r="M7" s="18" t="str">
        <x:v>Observed</x:v>
      </x:c>
    </x:row>
    <x:row r="8">
      <x:c r="A8" s="45" t="n">
        <x:v>46234</x:v>
      </x:c>
      <x:c r="B8" s="19" t="str">
        <x:v>Vercel</x:v>
      </x:c>
      <x:c r="C8" s="19" t="str">
        <x:v>Exact break-even volume growth</x:v>
      </x:c>
      <x:c r="D8" s="47" t="n">
        <x:v>0.1574</x:v>
      </x:c>
      <x:c r="E8" s="19" t="str">
        <x:v>percent</x:v>
      </x:c>
      <x:c r="F8" s="19" t="str">
        <x:v>MoM</x:v>
      </x:c>
      <x:c r="G8" s="19" t="str">
        <x:v>SRC-VERCEL-JUL26-001</x:v>
      </x:c>
      <x:c r="H8" s="19" t="str">
        <x:v>Derived</x:v>
      </x:c>
      <x:c r="I8" s="43" t="str">
        <x:v>d divided by one minus d</x:v>
      </x:c>
      <x:c r="K8" s="18" t="str">
        <x:v>Implied spend growth</x:v>
      </x:c>
      <x:c r="L8" s="50" t="n">
        <x:f>(1+L7)*(1-L5)-1</x:f>
        <x:v>0.37375999999999987</x:v>
      </x:c>
      <x:c r="M8" s="18" t="str">
        <x:v>(1 + g) × (1 - d) - 1</x:v>
      </x:c>
    </x:row>
    <x:row r="9">
      <x:c r="A9" s="45" t="n">
        <x:v>46267</x:v>
      </x:c>
      <x:c r="B9" s="19" t="str">
        <x:v>Silicon Data</x:v>
      </x:c>
      <x:c r="C9" s="19" t="str">
        <x:v>Open LLM index</x:v>
      </x:c>
      <x:c r="D9" s="47" t="n">
        <x:v>0.52</x:v>
      </x:c>
      <x:c r="E9" s="19" t="str">
        <x:v>USD per million tokens</x:v>
      </x:c>
      <x:c r="F9" s="19" t="str">
        <x:v>spot</x:v>
      </x:c>
      <x:c r="G9" s="19" t="str">
        <x:v>SRC-SD-SEP02-001</x:v>
      </x:c>
      <x:c r="H9" s="19" t="str">
        <x:v>Reported</x:v>
      </x:c>
      <x:c r="I9" s="43" t="str">
        <x:v>30-day change -18.4 percent</x:v>
      </x:c>
      <x:c r="K9" s="18" t="str">
        <x:v>Log-change coverage</x:v>
      </x:c>
      <x:c r="L9" s="51" t="n">
        <x:f>LN(1+L7)/-LN(1-L5)</x:f>
        <x:v>3.1722947955074323</x:v>
      </x:c>
      <x:c r="M9" s="18" t="str">
        <x:v>ln(1 + g) / -ln(1 - d)</x:v>
      </x:c>
    </x:row>
    <x:row r="10">
      <x:c r="A10" s="45" t="n">
        <x:v>46267</x:v>
      </x:c>
      <x:c r="B10" s="19" t="str">
        <x:v>Silicon Data</x:v>
      </x:c>
      <x:c r="C10" s="19" t="str">
        <x:v>Proprietary LLM index</x:v>
      </x:c>
      <x:c r="D10" s="47" t="n">
        <x:v>2.08</x:v>
      </x:c>
      <x:c r="E10" s="19" t="str">
        <x:v>USD per million tokens</x:v>
      </x:c>
      <x:c r="F10" s="19" t="str">
        <x:v>spot</x:v>
      </x:c>
      <x:c r="G10" s="19" t="str">
        <x:v>SRC-SD-SEP02-001</x:v>
      </x:c>
      <x:c r="H10" s="19" t="str">
        <x:v>Reported</x:v>
      </x:c>
      <x:c r="I10" s="43" t="str">
        <x:v>30-day change -25.4 percent</x:v>
      </x:c>
      <x:c r="K10" s="49" t="str">
        <x:v>Regime</x:v>
      </x:c>
      <x:c r="L10" s="49" t="str">
        <x:f>IF(L7&gt;L6,"Jevons absorption","Price deflation wins")</x:f>
        <x:v>Jevons absorption</x:v>
      </x:c>
      <x:c r="M10" s="49" t="str">
        <x:v>Volume clears exact break-even</x:v>
      </x:c>
    </x:row>
    <x:row r="11">
      <x:c r="A11" s="45" t="n">
        <x:v>46267</x:v>
      </x:c>
      <x:c r="B11" s="19" t="str">
        <x:v>Silicon Data</x:v>
      </x:c>
      <x:c r="C11" s="19" t="str">
        <x:v>Broad LLM token expenditure index</x:v>
      </x:c>
      <x:c r="D11" s="47" t="n">
        <x:v>0.98</x:v>
      </x:c>
      <x:c r="E11" s="19" t="str">
        <x:v>USD per million tokens</x:v>
      </x:c>
      <x:c r="F11" s="19" t="str">
        <x:v>spot</x:v>
      </x:c>
      <x:c r="G11" s="19" t="str">
        <x:v>SRC-SD-SEP02-001</x:v>
      </x:c>
      <x:c r="H11" s="19" t="str">
        <x:v>Reported</x:v>
      </x:c>
      <x:c r="I11" s="43" t="str">
        <x:v>30-day change -23.1 percent</x:v>
      </x:c>
    </x:row>
    <x:row r="12">
      <x:c r="A12" s="45" t="n">
        <x:v>46267</x:v>
      </x:c>
      <x:c r="B12" s="19" t="str">
        <x:v>Silicon Data</x:v>
      </x:c>
      <x:c r="C12" s="19" t="str">
        <x:v>H100 rental index</x:v>
      </x:c>
      <x:c r="D12" s="47" t="n">
        <x:v>2.66</x:v>
      </x:c>
      <x:c r="E12" s="19" t="str">
        <x:v>USD per GPU-hour</x:v>
      </x:c>
      <x:c r="F12" s="19" t="str">
        <x:v>spot</x:v>
      </x:c>
      <x:c r="G12" s="19" t="str">
        <x:v>SRC-SD-SEP02-001</x:v>
      </x:c>
      <x:c r="H12" s="19" t="str">
        <x:v>Reported</x:v>
      </x:c>
      <x:c r="I12" s="43" t="str">
        <x:v>30-day change -2.9 percent</x:v>
      </x:c>
    </x:row>
    <x:row r="13">
      <x:c r="A13" s="45" t="n">
        <x:v>46270</x:v>
      </x:c>
      <x:c r="B13" s="19" t="str">
        <x:v>Silicon Data</x:v>
      </x:c>
      <x:c r="C13" s="19" t="str">
        <x:v>Broad LLM token expenditure index</x:v>
      </x:c>
      <x:c r="D13" s="47" t="n">
        <x:v>0.99</x:v>
      </x:c>
      <x:c r="E13" s="19" t="str">
        <x:v>USD per million tokens</x:v>
      </x:c>
      <x:c r="F13" s="19" t="str">
        <x:v>7D</x:v>
      </x:c>
      <x:c r="G13" s="19" t="str">
        <x:v>SRC-TOKEN-WE-SEP06-001</x:v>
      </x:c>
      <x:c r="H13" s="19" t="str">
        <x:v>Reported</x:v>
      </x:c>
      <x:c r="I13" s="43" t="str">
        <x:v>7-day change +1.6 percent</x:v>
      </x:c>
    </x:row>
    <x:row r="14">
      <x:c r="A14" s="45" t="n">
        <x:v>46271</x:v>
      </x:c>
      <x:c r="B14" s="19" t="str">
        <x:v>Vercel</x:v>
      </x:c>
      <x:c r="C14" s="19" t="str">
        <x:v>Open-weight token share</x:v>
      </x:c>
      <x:c r="D14" s="47" t="n">
        <x:v>0.653</x:v>
      </x:c>
      <x:c r="E14" s="19" t="str">
        <x:v>percent</x:v>
      </x:c>
      <x:c r="F14" s="19" t="str">
        <x:v>endpoint</x:v>
      </x:c>
      <x:c r="G14" s="19" t="str">
        <x:v>SRC-TOKEN-WE-SEP06-001</x:v>
      </x:c>
      <x:c r="H14" s="19" t="str">
        <x:v>Reported</x:v>
      </x:c>
      <x:c r="I14" s="43" t="str">
        <x:v>Gateway specific</x:v>
      </x:c>
    </x:row>
    <x:row r="15">
      <x:c r="A15" s="45" t="n">
        <x:v>46271</x:v>
      </x:c>
      <x:c r="B15" s="19" t="str">
        <x:v>Vercel</x:v>
      </x:c>
      <x:c r="C15" s="19" t="str">
        <x:v>DeepSeek token share</x:v>
      </x:c>
      <x:c r="D15" s="47" t="n">
        <x:v>0.413</x:v>
      </x:c>
      <x:c r="E15" s="19" t="str">
        <x:v>percent</x:v>
      </x:c>
      <x:c r="F15" s="19" t="str">
        <x:v>endpoint</x:v>
      </x:c>
      <x:c r="G15" s="19" t="str">
        <x:v>SRC-TOKEN-WE-SEP06-001</x:v>
      </x:c>
      <x:c r="H15" s="19" t="str">
        <x:v>Reported</x:v>
      </x:c>
      <x:c r="I15" s="43" t="str">
        <x:v>Lab-level share</x:v>
      </x:c>
    </x:row>
    <x:row r="16">
      <x:c r="A16" s="45" t="n">
        <x:v>46271</x:v>
      </x:c>
      <x:c r="B16" s="19" t="str">
        <x:v>Vercel</x:v>
      </x:c>
      <x:c r="C16" s="19" t="str">
        <x:v>DeepSeek spend share</x:v>
      </x:c>
      <x:c r="D16" s="47" t="n">
        <x:v>0.047</x:v>
      </x:c>
      <x:c r="E16" s="19" t="str">
        <x:v>percent</x:v>
      </x:c>
      <x:c r="F16" s="19" t="str">
        <x:v>endpoint</x:v>
      </x:c>
      <x:c r="G16" s="19" t="str">
        <x:v>SRC-TOKEN-WE-SEP06-001</x:v>
      </x:c>
      <x:c r="H16" s="19" t="str">
        <x:v>Reported</x:v>
      </x:c>
      <x:c r="I16" s="43" t="str">
        <x:v>Lab-level share</x:v>
      </x:c>
    </x:row>
    <x:row r="17">
      <x:c r="A17" s="45" t="n">
        <x:v>46271</x:v>
      </x:c>
      <x:c r="B17" s="19" t="str">
        <x:v>Vercel</x:v>
      </x:c>
      <x:c r="C17" s="19" t="str">
        <x:v>Anthropic token share</x:v>
      </x:c>
      <x:c r="D17" s="47" t="n">
        <x:v>0.115</x:v>
      </x:c>
      <x:c r="E17" s="19" t="str">
        <x:v>percent</x:v>
      </x:c>
      <x:c r="F17" s="19" t="str">
        <x:v>endpoint</x:v>
      </x:c>
      <x:c r="G17" s="19" t="str">
        <x:v>SRC-TOKEN-WE-SEP06-001</x:v>
      </x:c>
      <x:c r="H17" s="19" t="str">
        <x:v>Reported</x:v>
      </x:c>
      <x:c r="I17" s="43" t="str">
        <x:v>Lab-level share</x:v>
      </x:c>
    </x:row>
    <x:row r="18">
      <x:c r="A18" s="45" t="n">
        <x:v>46271</x:v>
      </x:c>
      <x:c r="B18" s="19" t="str">
        <x:v>Vercel</x:v>
      </x:c>
      <x:c r="C18" s="19" t="str">
        <x:v>Anthropic spend share</x:v>
      </x:c>
      <x:c r="D18" s="47" t="n">
        <x:v>0.548</x:v>
      </x:c>
      <x:c r="E18" s="19" t="str">
        <x:v>percent</x:v>
      </x:c>
      <x:c r="F18" s="19" t="str">
        <x:v>endpoint</x:v>
      </x:c>
      <x:c r="G18" s="19" t="str">
        <x:v>SRC-TOKEN-WE-SEP06-001</x:v>
      </x:c>
      <x:c r="H18" s="19" t="str">
        <x:v>Reported</x:v>
      </x:c>
      <x:c r="I18" s="43" t="str">
        <x:v>Lab-level share</x:v>
      </x:c>
    </x:row>
    <x:row r="19">
      <x:c r="A19" s="45" t="n">
        <x:v>46271</x:v>
      </x:c>
      <x:c r="B19" s="19" t="str">
        <x:v>Vercel</x:v>
      </x:c>
      <x:c r="C19" s="19" t="str">
        <x:v>OpenAI token share</x:v>
      </x:c>
      <x:c r="D19" s="47" t="n">
        <x:v>0.113</x:v>
      </x:c>
      <x:c r="E19" s="19" t="str">
        <x:v>percent</x:v>
      </x:c>
      <x:c r="F19" s="19" t="str">
        <x:v>endpoint</x:v>
      </x:c>
      <x:c r="G19" s="19" t="str">
        <x:v>SRC-TOKEN-WE-SEP06-001</x:v>
      </x:c>
      <x:c r="H19" s="19" t="str">
        <x:v>Reported</x:v>
      </x:c>
      <x:c r="I19" s="43" t="str">
        <x:v>Lab-level share</x:v>
      </x:c>
    </x:row>
    <x:row r="20">
      <x:c r="A20" s="46" t="n">
        <x:v>46271</x:v>
      </x:c>
      <x:c r="B20" s="20" t="str">
        <x:v>Vercel</x:v>
      </x:c>
      <x:c r="C20" s="20" t="str">
        <x:v>OpenAI spend share</x:v>
      </x:c>
      <x:c r="D20" s="48" t="n">
        <x:v>0.215</x:v>
      </x:c>
      <x:c r="E20" s="20" t="str">
        <x:v>percent</x:v>
      </x:c>
      <x:c r="F20" s="20" t="str">
        <x:v>endpoint</x:v>
      </x:c>
      <x:c r="G20" s="20" t="str">
        <x:v>SRC-TOKEN-WE-SEP06-001</x:v>
      </x:c>
      <x:c r="H20" s="20" t="str">
        <x:v>Reported</x:v>
      </x:c>
      <x:c r="I20" s="44" t="str">
        <x:v>Lab-level share</x:v>
      </x:c>
    </x:row>
  </x:sheetData>
  <x:pageMargins left="0.7" right="0.7" top="0.75" bottom="0.75" header="0.3" footer="0.3"/>
  <x:tableParts count="1">
    <x:tablePart xmlns:r="http://schemas.openxmlformats.org/officeDocument/2006/relationships" r:id="Re014a0c2a70c4cd8"/>
  </x:tableParts>
</x:worksheet>
</file>

<file path=xl/worksheets/sheet5.xml><?xml version="1.0" encoding="utf-8"?>
<x:worksheet xmlns:x="http://schemas.openxmlformats.org/spreadsheetml/2006/main">
  <x:sheetPr>
    <x:tabColor rgb="FF5B8DB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3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2" hidden="0" customWidth="1"/>
    <x:col min="9" max="9" width="16" hidden="0" customWidth="1"/>
    <x:col min="10" max="10" width="48" hidden="0" customWidth="1"/>
    <x:col min="11" max="11" width="18" hidden="0" customWidth="1"/>
    <x:col min="12" max="12" width="18" hidden="0" customWidth="1"/>
  </x:cols>
  <x:sheetData>
    <x:row r="2">
      <x:c r="A2" s="2" t="str">
        <x:v>Power and compute benchmarks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</x:row>
    <x:row r="3">
      <x:c r="A3" s="3" t="str">
        <x:v>All figures are per IT-load GW. Facility cost remains project-specific.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 ht="32" customHeight="1">
      <x:c r="A4" s="15" t="str">
        <x:v>Reference</x:v>
      </x:c>
      <x:c r="B4" s="16" t="str">
        <x:v>Architecture / site</x:v>
      </x:c>
      <x:c r="C4" s="16" t="str">
        <x:v>Compute content ($B / IT GW)</x:v>
      </x:c>
      <x:c r="D4" s="16" t="str">
        <x:v>Facility ($B / IT GW)</x:v>
      </x:c>
      <x:c r="E4" s="16" t="str">
        <x:v>Total ($B / IT GW)</x:v>
      </x:c>
      <x:c r="F4" s="16" t="str">
        <x:v>Revenue low ($B / IT GW-year)</x:v>
      </x:c>
      <x:c r="G4" s="16" t="str">
        <x:v>Revenue high ($B / IT GW-year)</x:v>
      </x:c>
      <x:c r="H4" s="16" t="str">
        <x:v>Source ID</x:v>
      </x:c>
      <x:c r="I4" s="16" t="str">
        <x:v>Evidence state</x:v>
      </x:c>
      <x:c r="J4" s="16" t="str">
        <x:v>Notes</x:v>
      </x:c>
      <x:c r="K4" s="16" t="str">
        <x:v>Gross payback low (years)</x:v>
      </x:c>
      <x:c r="L4" s="17" t="str">
        <x:v>Gross payback high (years)</x:v>
      </x:c>
    </x:row>
    <x:row r="5">
      <x:c r="A5" s="19" t="str">
        <x:v>xAI / SpaceX</x:v>
      </x:c>
      <x:c r="B5" s="19" t="str">
        <x:v>Blackwell-era brownfield</x:v>
      </x:c>
      <x:c r="C5" s="54" t="n">
        <x:v>24.8</x:v>
      </x:c>
      <x:c r="D5" s="54" t="n">
        <x:v>2.85</x:v>
      </x:c>
      <x:c r="E5" s="54" t="n">
        <x:v>27.7</x:v>
      </x:c>
      <x:c r="F5" s="54"/>
      <x:c r="G5" s="54"/>
      <x:c r="H5" s="19" t="str">
        <x:v>SRC-WB-P2S-001</x:v>
      </x:c>
      <x:c r="I5" s="19" t="str">
        <x:v>Derived</x:v>
      </x:c>
      <x:c r="J5" s="43" t="str">
        <x:v>Compute and facility figures share project denominator</x:v>
      </x:c>
      <x:c r="K5" s="56" t="str">
        <x:f>IF(OR(E5="",G5="",G5=0),"",E5/G5)</x:f>
      </x:c>
      <x:c r="L5" s="56" t="str">
        <x:f>IF(OR(E5="",F5="",F5=0),"",E5/F5)</x:f>
      </x:c>
    </x:row>
    <x:row r="6">
      <x:c r="A6" s="19" t="str">
        <x:v>Epoch AI</x:v>
      </x:c>
      <x:c r="B6" s="19" t="str">
        <x:v>Blackwell-era greenfield</x:v>
      </x:c>
      <x:c r="C6" s="54" t="n">
        <x:v>26.1</x:v>
      </x:c>
      <x:c r="D6" s="54" t="n">
        <x:v>11.4</x:v>
      </x:c>
      <x:c r="E6" s="54" t="n">
        <x:v>37.9</x:v>
      </x:c>
      <x:c r="F6" s="54" t="n">
        <x:v>10</x:v>
      </x:c>
      <x:c r="G6" s="54" t="n">
        <x:v>12</x:v>
      </x:c>
      <x:c r="H6" s="19" t="str">
        <x:v>SRC-WB-P2S-001</x:v>
      </x:c>
      <x:c r="I6" s="19" t="str">
        <x:v>Modeled</x:v>
      </x:c>
      <x:c r="J6" s="43" t="str">
        <x:v>Revenue range reflects market or spot estimate</x:v>
      </x:c>
      <x:c r="K6" s="56" t="n">
        <x:f>IF(OR(E6="",G6="",G6=0),"",E6/G6)</x:f>
        <x:v>3.158333333333333</x:v>
      </x:c>
      <x:c r="L6" s="56" t="n">
        <x:f>IF(OR(E6="",F6="",F6=0),"",E6/F6)</x:f>
        <x:v>3.79</x:v>
      </x:c>
    </x:row>
    <x:row r="7">
      <x:c r="A7" s="19" t="str">
        <x:v>Nscale / Anthropic</x:v>
      </x:c>
      <x:c r="B7" s="19" t="str">
        <x:v>Vera Rubin greenfield islanded</x:v>
      </x:c>
      <x:c r="C7" s="54" t="n">
        <x:v>34.8</x:v>
      </x:c>
      <x:c r="D7" s="54" t="n">
        <x:v>17.9</x:v>
      </x:c>
      <x:c r="E7" s="54" t="n">
        <x:v>52.7</x:v>
      </x:c>
      <x:c r="F7" s="54" t="n">
        <x:v>16.3</x:v>
      </x:c>
      <x:c r="G7" s="54" t="n">
        <x:v>16.3</x:v>
      </x:c>
      <x:c r="H7" s="19" t="str">
        <x:v>SRC-WB-NSCALE-001</x:v>
      </x:c>
      <x:c r="I7" s="19" t="str">
        <x:v>Derived</x:v>
      </x:c>
      <x:c r="J7" s="43" t="str">
        <x:v>Contracted rate; 2 GW onsite gas plus batteries for 1.35 GW IT</x:v>
      </x:c>
      <x:c r="K7" s="56" t="n">
        <x:f>IF(OR(E7="",G7="",G7=0),"",E7/G7)</x:f>
        <x:v>3.233128834355828</x:v>
      </x:c>
      <x:c r="L7" s="56" t="n">
        <x:f>IF(OR(E7="",F7="",F7=0),"",E7/F7)</x:f>
        <x:v>3.233128834355828</x:v>
      </x:c>
    </x:row>
    <x:row r="8">
      <x:c r="A8" s="19" t="str">
        <x:v>NVIDIA</x:v>
      </x:c>
      <x:c r="B8" s="19" t="str">
        <x:v>Hopper</x:v>
      </x:c>
      <x:c r="C8" s="54" t="n">
        <x:v>18</x:v>
      </x:c>
      <x:c r="D8" s="54"/>
      <x:c r="E8" s="54"/>
      <x:c r="F8" s="54"/>
      <x:c r="G8" s="54"/>
      <x:c r="H8" s="19" t="str">
        <x:v>SRC-NVDA-Q2FY27-001</x:v>
      </x:c>
      <x:c r="I8" s="19" t="str">
        <x:v>Reported</x:v>
      </x:c>
      <x:c r="J8" s="43" t="str">
        <x:v>VENDOR content only</x:v>
      </x:c>
      <x:c r="K8" s="56" t="str">
        <x:f>IF(OR(E8="",G8="",G8=0),"",E8/G8)</x:f>
      </x:c>
      <x:c r="L8" s="56" t="str">
        <x:f>IF(OR(E8="",F8="",F8=0),"",E8/F8)</x:f>
      </x:c>
    </x:row>
    <x:row r="9">
      <x:c r="A9" s="19" t="str">
        <x:v>NVIDIA</x:v>
      </x:c>
      <x:c r="B9" s="19" t="str">
        <x:v>Blackwell</x:v>
      </x:c>
      <x:c r="C9" s="54" t="n">
        <x:v>25</x:v>
      </x:c>
      <x:c r="D9" s="54"/>
      <x:c r="E9" s="54"/>
      <x:c r="F9" s="54"/>
      <x:c r="G9" s="54"/>
      <x:c r="H9" s="19" t="str">
        <x:v>SRC-NVDA-Q2FY27-001</x:v>
      </x:c>
      <x:c r="I9" s="19" t="str">
        <x:v>Reported</x:v>
      </x:c>
      <x:c r="J9" s="43" t="str">
        <x:v>VENDOR content only</x:v>
      </x:c>
      <x:c r="K9" s="56" t="str">
        <x:f>IF(OR(E9="",G9="",G9=0),"",E9/G9)</x:f>
      </x:c>
      <x:c r="L9" s="56" t="str">
        <x:f>IF(OR(E9="",F9="",F9=0),"",E9/F9)</x:f>
      </x:c>
    </x:row>
    <x:row r="10">
      <x:c r="A10" s="19" t="str">
        <x:v>NVIDIA</x:v>
      </x:c>
      <x:c r="B10" s="19" t="str">
        <x:v>Vera Rubin</x:v>
      </x:c>
      <x:c r="C10" s="54" t="n">
        <x:v>40</x:v>
      </x:c>
      <x:c r="D10" s="54"/>
      <x:c r="E10" s="54"/>
      <x:c r="F10" s="54"/>
      <x:c r="G10" s="54"/>
      <x:c r="H10" s="19" t="str">
        <x:v>SRC-NVDA-Q2FY27-001</x:v>
      </x:c>
      <x:c r="I10" s="19" t="str">
        <x:v>Reported</x:v>
      </x:c>
      <x:c r="J10" s="43" t="str">
        <x:v>VENDOR content only</x:v>
      </x:c>
      <x:c r="K10" s="56" t="str">
        <x:f>IF(OR(E10="",G10="",G10=0),"",E10/G10)</x:f>
      </x:c>
      <x:c r="L10" s="56" t="str">
        <x:f>IF(OR(E10="",F10="",F10=0),"",E10/F10)</x:f>
      </x:c>
    </x:row>
    <x:row r="11">
      <x:c r="A11" s="19" t="str">
        <x:v>OpenAI / Stargate</x:v>
      </x:c>
      <x:c r="B11" s="19" t="str">
        <x:v>Unspecified</x:v>
      </x:c>
      <x:c r="C11" s="54" t="n">
        <x:v>24.7</x:v>
      </x:c>
      <x:c r="D11" s="54"/>
      <x:c r="E11" s="54"/>
      <x:c r="F11" s="54"/>
      <x:c r="G11" s="54"/>
      <x:c r="H11" s="19" t="str">
        <x:v>SRC-WB-P2S-001</x:v>
      </x:c>
      <x:c r="I11" s="19" t="str">
        <x:v>Derived</x:v>
      </x:c>
      <x:c r="J11" s="43" t="str">
        <x:v>Per GW IT load</x:v>
      </x:c>
      <x:c r="K11" s="56" t="str">
        <x:f>IF(OR(E11="",G11="",G11=0),"",E11/G11)</x:f>
      </x:c>
      <x:c r="L11" s="56" t="str">
        <x:f>IF(OR(E11="",F11="",F11=0),"",E11/F11)</x:f>
      </x:c>
    </x:row>
    <x:row r="12">
      <x:c r="A12" s="19" t="str">
        <x:v>XPV</x:v>
      </x:c>
      <x:c r="B12" s="19" t="str">
        <x:v>Unspecified</x:v>
      </x:c>
      <x:c r="C12" s="54" t="n">
        <x:v>35</x:v>
      </x:c>
      <x:c r="D12" s="54"/>
      <x:c r="E12" s="54" t="n">
        <x:v>35</x:v>
      </x:c>
      <x:c r="F12" s="54"/>
      <x:c r="G12" s="54"/>
      <x:c r="H12" s="19" t="str">
        <x:v>SRC-WB-P2S-001</x:v>
      </x:c>
      <x:c r="I12" s="19" t="str">
        <x:v>Derived</x:v>
      </x:c>
      <x:c r="J12" s="43" t="str">
        <x:v>All-in tranche figure; perimeter needs continuing review</x:v>
      </x:c>
      <x:c r="K12" s="56" t="str">
        <x:f>IF(OR(E12="",G12="",G12=0),"",E12/G12)</x:f>
      </x:c>
      <x:c r="L12" s="56" t="str">
        <x:f>IF(OR(E12="",F12="",F12=0),"",E12/F12)</x:f>
      </x:c>
    </x:row>
    <x:row r="13">
      <x:c r="A13" s="20" t="str">
        <x:v>Broadcom</x:v>
      </x:c>
      <x:c r="B13" s="20" t="str">
        <x:v>Custom silicon</x:v>
      </x:c>
      <x:c r="C13" s="55" t="n">
        <x:v>11.5</x:v>
      </x:c>
      <x:c r="D13" s="55"/>
      <x:c r="E13" s="55"/>
      <x:c r="F13" s="55"/>
      <x:c r="G13" s="55"/>
      <x:c r="H13" s="20" t="str">
        <x:v>SRC-WB-P2S-001</x:v>
      </x:c>
      <x:c r="I13" s="20" t="str">
        <x:v>Derived</x:v>
      </x:c>
      <x:c r="J13" s="44" t="str">
        <x:v>Custom silicon only</x:v>
      </x:c>
      <x:c r="K13" s="57" t="str">
        <x:f>IF(OR(E13="",G13="",G13=0),"",E13/G13)</x:f>
      </x:c>
      <x:c r="L13" s="57" t="str">
        <x:f>IF(OR(E13="",F13="",F13=0),"",E13/F13)</x:f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8E9AA3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3" hidden="0" customWidth="1"/>
    <x:col min="3" max="3" width="24" hidden="0" customWidth="1"/>
    <x:col min="4" max="4" width="38" hidden="0" customWidth="1"/>
    <x:col min="5" max="5" width="22" hidden="0" customWidth="1"/>
    <x:col min="6" max="6" width="58" hidden="0" customWidth="1"/>
    <x:col min="7" max="7" width="42" hidden="0" customWidth="1"/>
    <x:col min="8" max="8" width="20" hidden="0" customWidth="1"/>
    <x:col min="9" max="9" width="46" hidden="0" customWidth="1"/>
  </x:cols>
  <x:sheetData>
    <x:row r="2">
      <x:c r="A2" s="2" t="str">
        <x:v>Source register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3" t="str">
        <x:v>Every hard-coded observation should resolve to one source ID here.</x:v>
      </x:c>
      <x:c r="B3" s="3"/>
      <x:c r="C3" s="3"/>
      <x:c r="D3" s="3"/>
      <x:c r="E3" s="3"/>
      <x:c r="F3" s="3"/>
      <x:c r="G3" s="3"/>
      <x:c r="H3" s="3"/>
      <x:c r="I3" s="3"/>
    </x:row>
    <x:row r="4" ht="32" customHeight="1">
      <x:c r="A4" s="15" t="str">
        <x:v>Source ID</x:v>
      </x:c>
      <x:c r="B4" s="16" t="str">
        <x:v>Date</x:v>
      </x:c>
      <x:c r="C4" s="16" t="str">
        <x:v>Publisher</x:v>
      </x:c>
      <x:c r="D4" s="16" t="str">
        <x:v>Title</x:v>
      </x:c>
      <x:c r="E4" s="16" t="str">
        <x:v>Artifact type</x:v>
      </x:c>
      <x:c r="F4" s="16" t="str">
        <x:v>Url</x:v>
      </x:c>
      <x:c r="G4" s="16" t="str">
        <x:v>Supports</x:v>
      </x:c>
      <x:c r="H4" s="16" t="str">
        <x:v>Status</x:v>
      </x:c>
      <x:c r="I4" s="17" t="str">
        <x:v>Notes</x:v>
      </x:c>
    </x:row>
    <x:row r="5">
      <x:c r="A5" s="19" t="str">
        <x:v>SRC-CHAT-001</x:v>
      </x:c>
      <x:c r="B5" s="45" t="n">
        <x:v>46273</x:v>
      </x:c>
      <x:c r="C5" s="19" t="str">
        <x:v>Jake / ChatGPT</x:v>
      </x:c>
      <x:c r="D5" s="43" t="str">
        <x:v>Full originating MW/$ project chat</x:v>
      </x:c>
      <x:c r="E5" s="43" t="str">
        <x:v>Project conversation</x:v>
      </x:c>
      <x:c r="F5" s="43"/>
      <x:c r="G5" s="43" t="str">
        <x:v>Company-specific method configuration</x:v>
      </x:c>
      <x:c r="H5" s="43" t="str">
        <x:v>Canonical internal source</x:v>
      </x:c>
      <x:c r="I5" s="43" t="str">
        <x:v>Added to this project in full by Jake</x:v>
      </x:c>
    </x:row>
    <x:row r="6">
      <x:c r="A6" s="19" t="str">
        <x:v>SRC-WB-P2S-001</x:v>
      </x:c>
      <x:c r="B6" s="45" t="n">
        <x:v>46269</x:v>
      </x:c>
      <x:c r="C6" s="19" t="str">
        <x:v>Wiki-Brain</x:v>
      </x:c>
      <x:c r="D6" s="43" t="str">
        <x:v>Power-to-Silicon Thesis</x:v>
      </x:c>
      <x:c r="E6" s="43" t="str">
        <x:v>Markdown</x:v>
      </x:c>
      <x:c r="F6" s="43" t="str">
        <x:v>https://github.com/smsyt4sjvc-crypto/Wiki-Brain/blob/main/wiki/power-to-silicon-thesis.md</x:v>
      </x:c>
      <x:c r="G6" s="43" t="str">
        <x:v>Power conversion capex per GW revenue per GW and correction history</x:v>
      </x:c>
      <x:c r="H6" s="43" t="str">
        <x:v>Read-only reference</x:v>
      </x:c>
      <x:c r="I6" s="43" t="str">
        <x:v>Do not modify Wiki-Brain</x:v>
      </x:c>
    </x:row>
    <x:row r="7">
      <x:c r="A7" s="19" t="str">
        <x:v>SRC-WB-NSCALE-001</x:v>
      </x:c>
      <x:c r="B7" s="45" t="n">
        <x:v>46260</x:v>
      </x:c>
      <x:c r="C7" s="19" t="str">
        <x:v>Wiki-Brain</x:v>
      </x:c>
      <x:c r="D7" s="43" t="str">
        <x:v>Anthropic x Nscale West Virginia unit economics</x:v>
      </x:c>
      <x:c r="E7" s="43" t="str">
        <x:v>Markdown</x:v>
      </x:c>
      <x:c r="F7" s="43" t="str">
        <x:v>https://github.com/smsyt4sjvc-crypto/Wiki-Brain/blob/main/wiki/ai-financing-fragility.md</x:v>
      </x:c>
      <x:c r="G7" s="43" t="str">
        <x:v>Nscale contract and project economics</x:v>
      </x:c>
      <x:c r="H7" s="43" t="str">
        <x:v>Read-only reference</x:v>
      </x:c>
      <x:c r="I7" s="43" t="str">
        <x:v>See entry dated 2026-08-26</x:v>
      </x:c>
    </x:row>
    <x:row r="8">
      <x:c r="A8" s="19" t="str">
        <x:v>SRC-WB-CRWV-001</x:v>
      </x:c>
      <x:c r="B8" s="45" t="n">
        <x:v>46247</x:v>
      </x:c>
      <x:c r="C8" s="19" t="str">
        <x:v>Wiki-Brain</x:v>
      </x:c>
      <x:c r="D8" s="43" t="str">
        <x:v>CoreWeave active-power and revenue identity</x:v>
      </x:c>
      <x:c r="E8" s="43" t="str">
        <x:v>Markdown</x:v>
      </x:c>
      <x:c r="F8" s="43" t="str">
        <x:v>https://github.com/smsyt4sjvc-crypto/Wiki-Brain/blob/main/wiki/ai-financing-fragility.md</x:v>
      </x:c>
      <x:c r="G8" s="43" t="str">
        <x:v>CoreWeave method constraints and active MW</x:v>
      </x:c>
      <x:c r="H8" s="43" t="str">
        <x:v>Read-only reference</x:v>
      </x:c>
      <x:c r="I8" s="43" t="str">
        <x:v>Period-average MW still required</x:v>
      </x:c>
    </x:row>
    <x:row r="9">
      <x:c r="A9" s="19" t="str">
        <x:v>SRC-VERCEL-JUL26-001</x:v>
      </x:c>
      <x:c r="B9" s="45" t="n">
        <x:v>46245</x:v>
      </x:c>
      <x:c r="C9" s="19" t="str">
        <x:v>Vercel</x:v>
      </x:c>
      <x:c r="D9" s="43" t="str">
        <x:v>DeepSeek overtakes Google on volume cost per token falls 13.6 percent</x:v>
      </x:c>
      <x:c r="E9" s="43" t="str">
        <x:v>Web</x:v>
      </x:c>
      <x:c r="F9" s="43" t="str">
        <x:v>https://vercel.com/blog/deepseek-overtakes-google-on-volume-cost-per-token-falls</x:v>
      </x:c>
      <x:c r="G9" s="43" t="str">
        <x:v>July volume price spend and mix</x:v>
      </x:c>
      <x:c r="H9" s="43" t="str">
        <x:v>Primary</x:v>
      </x:c>
      <x:c r="I9" s="43" t="str">
        <x:v>Gateway sample not global market</x:v>
      </x:c>
    </x:row>
    <x:row r="10">
      <x:c r="A10" s="19" t="str">
        <x:v>SRC-SD-SEP02-001</x:v>
      </x:c>
      <x:c r="B10" s="45" t="n">
        <x:v>46267</x:v>
      </x:c>
      <x:c r="C10" s="19" t="str">
        <x:v>Silicon Data</x:v>
      </x:c>
      <x:c r="D10" s="43" t="str">
        <x:v>Open versus Proprietary LLM decomposition</x:v>
      </x:c>
      <x:c r="E10" s="43" t="str">
        <x:v>Account dashboard snapshot</x:v>
      </x:c>
      <x:c r="F10" s="43" t="str">
        <x:v>https://github.com/smsyt4sjvc-crypto/Wiki-Brain/blob/main/raw/2026-09-03-silicon-data-open-vs-proprietary-decomposition.txt</x:v>
      </x:c>
      <x:c r="G10" s="43" t="str">
        <x:v>Open proprietary broad token expenditure and H100 rent</x:v>
      </x:c>
      <x:c r="H10" s="43" t="str">
        <x:v>Primary snapshot</x:v>
      </x:c>
      <x:c r="I10" s="43" t="str">
        <x:v>Usage-weighted effective expenditure</x:v>
      </x:c>
    </x:row>
    <x:row r="11">
      <x:c r="A11" s="19" t="str">
        <x:v>SRC-TOKEN-WE-SEP06-001</x:v>
      </x:c>
      <x:c r="B11" s="45" t="n">
        <x:v>46271</x:v>
      </x:c>
      <x:c r="C11" s="19" t="str">
        <x:v>MW/$ prior chat</x:v>
      </x:c>
      <x:c r="D11" s="43" t="str">
        <x:v>AI Token Economics week ending September 6</x:v>
      </x:c>
      <x:c r="E11" s="43" t="str">
        <x:v>Research brief</x:v>
      </x:c>
      <x:c r="F11" s="43" t="str">
        <x:v>https://github.com/smsyt4sjvc-crypto/Wiki-Brain/blob/main/raw/2026-09-06-ai-token-economics-weekly-plus-usage-segmentation.txt</x:v>
      </x:c>
      <x:c r="G11" s="43" t="str">
        <x:v>Silicon Data Vercel routing mix and enterprise segmentation</x:v>
      </x:c>
      <x:c r="H11" s="43" t="str">
        <x:v>Compiled with source labels</x:v>
      </x:c>
      <x:c r="I11" s="43" t="str">
        <x:v>Verify constituent primaries on refresh</x:v>
      </x:c>
    </x:row>
    <x:row r="12">
      <x:c r="A12" s="19" t="str">
        <x:v>SRC-TOKEN-AUG19-001</x:v>
      </x:c>
      <x:c r="B12" s="45" t="n">
        <x:v>46253</x:v>
      </x:c>
      <x:c r="C12" s="19" t="str">
        <x:v>MW/$ prior chat</x:v>
      </x:c>
      <x:c r="D12" s="43" t="str">
        <x:v>AI Token Economics Jevons report</x:v>
      </x:c>
      <x:c r="E12" s="43" t="str">
        <x:v>Research brief</x:v>
      </x:c>
      <x:c r="F12" s="43" t="str">
        <x:v>https://github.com/smsyt4sjvc-crypto/Wiki-Brain/blob/main/raw/2026-08-19-ai-token-economics-jevons-report.txt</x:v>
      </x:c>
      <x:c r="G12" s="43" t="str">
        <x:v>Formulas price ladder Vercel OpenRouter Google and sources</x:v>
      </x:c>
      <x:c r="H12" s="43" t="str">
        <x:v>Compiled with primary links</x:v>
      </x:c>
      <x:c r="I12" s="43" t="str">
        <x:v>Use original linked sources for current refresh</x:v>
      </x:c>
    </x:row>
    <x:row r="13">
      <x:c r="A13" s="19" t="str">
        <x:v>SRC-NVDA-Q2FY27-001</x:v>
      </x:c>
      <x:c r="B13" s="45" t="n">
        <x:v>46260</x:v>
      </x:c>
      <x:c r="C13" s="19" t="str">
        <x:v>NVIDIA</x:v>
      </x:c>
      <x:c r="D13" s="43" t="str">
        <x:v>Q2 FY2027 earnings call</x:v>
      </x:c>
      <x:c r="E13" s="43" t="str">
        <x:v>Transcript</x:v>
      </x:c>
      <x:c r="F13" s="43" t="str">
        <x:v>https://investor.nvidia.com/</x:v>
      </x:c>
      <x:c r="G13" s="43" t="str">
        <x:v>Hopper Blackwell and Rubin content per GW</x:v>
      </x:c>
      <x:c r="H13" s="43" t="str">
        <x:v>Primary</x:v>
      </x:c>
      <x:c r="I13" s="43" t="str">
        <x:v>Exact transcript URL to pin on refresh</x:v>
      </x:c>
    </x:row>
    <x:row r="14">
      <x:c r="A14" s="19" t="str">
        <x:v>SRC-XAI-GS-RECAP-20260910</x:v>
      </x:c>
      <x:c r="B14" s="45" t="n">
        <x:v>46275</x:v>
      </x:c>
      <x:c r="C14" s="19" t="str">
        <x:v>User-supplied Goldman recap</x:v>
      </x:c>
      <x:c r="D14" s="43" t="str">
        <x:v>SpaceX CFO Communacopia recap</x:v>
      </x:c>
      <x:c r="E14" s="43" t="str">
        <x:v>Project message</x:v>
      </x:c>
      <x:c r="F14" s="43"/>
      <x:c r="G14" s="43" t="str">
        <x:v>Monetization guidance and capacity targets</x:v>
      </x:c>
      <x:c r="H14" s="43" t="str">
        <x:v>Attributed recap</x:v>
      </x:c>
      <x:c r="I14" s="43" t="str">
        <x:v>Raw recap in raw/2026-09-10-spacex-goldman-recap.md</x:v>
      </x:c>
    </x:row>
    <x:row r="15">
      <x:c r="A15" s="19" t="str">
        <x:v>SRC-XAI-GS-QA-20260910</x:v>
      </x:c>
      <x:c r="B15" s="45" t="n">
        <x:v>46275</x:v>
      </x:c>
      <x:c r="C15" s="19" t="str">
        <x:v>Bret Johnsen via Investing.com</x:v>
      </x:c>
      <x:c r="D15" s="43" t="str">
        <x:v>SpaceX Communacopia full Q&amp;A</x:v>
      </x:c>
      <x:c r="E15" s="43" t="str">
        <x:v>Published transcript</x:v>
      </x:c>
      <x:c r="F15" s="43" t="str">
        <x:v>https://www.investing.com/news/transcripts/spacex-at-goldman-sachs-communacopia--technology-conference-2026-compute-push-93CH-4896834</x:v>
      </x:c>
      <x:c r="G15" s="43" t="str">
        <x:v>Monetization and new hosting deal terms</x:v>
      </x:c>
      <x:c r="H15" s="43" t="str">
        <x:v>Management claims</x:v>
      </x:c>
      <x:c r="I15" s="43" t="str">
        <x:v>Use Q&amp;A; introductory summary misdates years; audio not reviewed</x:v>
      </x:c>
    </x:row>
    <x:row r="16">
      <x:c r="A16" s="19" t="str">
        <x:v>SRC-XAI-GS-EVENT-20260910</x:v>
      </x:c>
      <x:c r="B16" s="45" t="n">
        <x:v>46275</x:v>
      </x:c>
      <x:c r="C16" s="19" t="str">
        <x:v>SpaceX investor relations</x:v>
      </x:c>
      <x:c r="D16" s="43" t="str">
        <x:v>Goldman Sachs Communacopia event</x:v>
      </x:c>
      <x:c r="E16" s="43" t="str">
        <x:v>Issuer event page</x:v>
      </x:c>
      <x:c r="F16" s="43" t="str">
        <x:v>https://ir.spacex.com/events/event-details/2026/Goldman-Sachs-2026-Communacopia-and-Technology-Conference-2026-u70jsP31xi/default.aspx</x:v>
      </x:c>
      <x:c r="G16" s="43" t="str">
        <x:v>Event date and replay location</x:v>
      </x:c>
      <x:c r="H16" s="43" t="str">
        <x:v>Primary</x:v>
      </x:c>
      <x:c r="I16" s="43" t="str">
        <x:v>September 10 2026 12:25 PM PT; no financial figures on this page</x:v>
      </x:c>
    </x:row>
    <x:row r="17">
      <x:c r="A17" s="19" t="str">
        <x:v>SRC-ORCL-Q1FY27-20260910</x:v>
      </x:c>
      <x:c r="B17" s="45" t="n">
        <x:v>46275</x:v>
      </x:c>
      <x:c r="C17" s="19" t="str">
        <x:v>Oracle / SEC</x:v>
      </x:c>
      <x:c r="D17" s="43" t="str">
        <x:v>Q1 FY2027 earnings release and financial tables</x:v>
      </x:c>
      <x:c r="E17" s="43" t="str">
        <x:v>8-K Exhibit 99.1</x:v>
      </x:c>
      <x:c r="F17" s="43" t="str">
        <x:v>https://www.sec.gov/Archives/edgar/data/1341439/000119312526387905/orcl-ex99_1.htm</x:v>
      </x:c>
      <x:c r="G17" s="43" t="str">
        <x:v>Oracle OCI 2026-09-11 review</x:v>
      </x:c>
      <x:c r="H17" s="43" t="str">
        <x:v>primary_read</x:v>
      </x:c>
      <x:c r="I17" s="43" t="str">
        <x:v>Opening highlights; financial tables pp. 4-5: Cash Flows, Free Cash Flow, Net Cash Outlay; notes (2)-(3)</x:v>
      </x:c>
    </x:row>
    <x:row r="18">
      <x:c r="A18" s="19" t="str">
        <x:v>SRC-ORCL-10K-FY26</x:v>
      </x:c>
      <x:c r="B18" s="45" t="n">
        <x:v>46195</x:v>
      </x:c>
      <x:c r="C18" s="19" t="str">
        <x:v>Oracle / SEC</x:v>
      </x:c>
      <x:c r="D18" s="43" t="str">
        <x:v>FY2026 Form 10-K</x:v>
      </x:c>
      <x:c r="E18" s="43" t="str">
        <x:v>10-K</x:v>
      </x:c>
      <x:c r="F18" s="43" t="str">
        <x:v>https://www.sec.gov/Archives/edgar/data/1341439/000119312526277521/orcl-20260531.htm</x:v>
      </x:c>
      <x:c r="G18" s="43" t="str">
        <x:v>Oracle OCI 2026-09-11 review</x:v>
      </x:c>
      <x:c r="H18" s="43" t="str">
        <x:v>primary_read</x:v>
      </x:c>
      <x:c r="I18" s="43" t="str">
        <x:v>Note 4 p.81; Note 9 pp.88-90; MD&amp;A p.55; Note 1 p.72</x:v>
      </x:c>
    </x:row>
    <x:row r="19">
      <x:c r="A19" s="19" t="str">
        <x:v>SRC-ORCL-10Q-Q3FY26</x:v>
      </x:c>
      <x:c r="B19" s="45" t="n">
        <x:v>46092</x:v>
      </x:c>
      <x:c r="C19" s="19" t="str">
        <x:v>Oracle / SEC</x:v>
      </x:c>
      <x:c r="D19" s="43" t="str">
        <x:v>Q3 FY2026 Form 10-Q</x:v>
      </x:c>
      <x:c r="E19" s="43" t="str">
        <x:v>10-Q</x:v>
      </x:c>
      <x:c r="F19" s="43" t="str">
        <x:v>https://www.sec.gov/Archives/edgar/data/1341439/000119312526101045/orcl-20260228.htm</x:v>
      </x:c>
      <x:c r="G19" s="43" t="str">
        <x:v>Oracle OCI 2026-09-11 review</x:v>
      </x:c>
      <x:c r="H19" s="43" t="str">
        <x:v>primary_read</x:v>
      </x:c>
      <x:c r="I19" s="43" t="str">
        <x:v>Note 6 pp.12-14: Leases, Other Commitments and Certain Contingencies</x:v>
      </x:c>
    </x:row>
    <x:row r="20">
      <x:c r="A20" s="19" t="str">
        <x:v>SRC-ORCL-CEO-20260612</x:v>
      </x:c>
      <x:c r="B20" s="45" t="n">
        <x:v>46185</x:v>
      </x:c>
      <x:c r="C20" s="19" t="str">
        <x:v>Oracle</x:v>
      </x:c>
      <x:c r="D20" s="43" t="str">
        <x:v>From the Q4 Earnings Call: Driving Sustainable Growth Through Durable Differentiation</x:v>
      </x:c>
      <x:c r="E20" s="43" t="str">
        <x:v>issuer_prepared_remarks</x:v>
      </x:c>
      <x:c r="F20" s="43" t="str">
        <x:v>https://blogs.oracle.com/ceo/from-the-q4-earnings-call</x:v>
      </x:c>
      <x:c r="G20" s="43" t="str">
        <x:v>Oracle OCI 2026-09-11 review</x:v>
      </x:c>
      <x:c r="H20" s="43" t="str">
        <x:v>primary_read</x:v>
      </x:c>
      <x:c r="I20" s="43" t="str">
        <x:v>Enabling scale while growing profitability; Accelerating delivery; five largest sites</x:v>
      </x:c>
    </x:row>
    <x:row r="21">
      <x:c r="A21" s="19" t="str">
        <x:v>SRC-ORCL-ESG-FY25</x:v>
      </x:c>
      <x:c r="B21" s="45" t="str">
        <x:v>2026-02</x:v>
      </x:c>
      <x:c r="C21" s="19" t="str">
        <x:v>Oracle</x:v>
      </x:c>
      <x:c r="D21" s="43" t="str">
        <x:v>Environmental and Social Impact FY25 Datasheet Version 6</x:v>
      </x:c>
      <x:c r="E21" s="43" t="str">
        <x:v>sustainability_report</x:v>
      </x:c>
      <x:c r="F21" s="43" t="str">
        <x:v>https://www.oracle.com/it/a/ocom/docs/social-impact-datasheet.pdf</x:v>
      </x:c>
      <x:c r="G21" s="43" t="str">
        <x:v>Oracle OCI 2026-09-11 review</x:v>
      </x:c>
      <x:c r="H21" s="43" t="str">
        <x:v>primary_read</x:v>
      </x:c>
      <x:c r="I21" s="43" t="str">
        <x:v>p.3 Energy and Renewables; p.6 footnotes vii-ix</x:v>
      </x:c>
    </x:row>
    <x:row r="22">
      <x:c r="A22" s="19" t="str">
        <x:v>SRC-ORCL-CARBON-20250630</x:v>
      </x:c>
      <x:c r="B22" s="45" t="n">
        <x:v>45838</x:v>
      </x:c>
      <x:c r="C22" s="19" t="str">
        <x:v>Oracle</x:v>
      </x:c>
      <x:c r="D22" s="43" t="str">
        <x:v>OCI Carbon Emissions Analysis: power-based calculations</x:v>
      </x:c>
      <x:c r="E22" s="43" t="str">
        <x:v>issuer_methodology</x:v>
      </x:c>
      <x:c r="F22" s="43" t="str">
        <x:v>https://blogs.oracle.com/sustainability/oci-carbon-emissions-power-based-calculations</x:v>
      </x:c>
      <x:c r="G22" s="43" t="str">
        <x:v>Oracle OCI 2026-09-11 review</x:v>
      </x:c>
      <x:c r="H22" s="43" t="str">
        <x:v>primary_read</x:v>
      </x:c>
      <x:c r="I22" s="43" t="str">
        <x:v>What are power-based emissions; reporting experience</x:v>
      </x:c>
    </x:row>
    <x:row r="23">
      <x:c r="A23" s="19" t="str">
        <x:v>SRC-ORCL-CARBON-202302</x:v>
      </x:c>
      <x:c r="B23" s="45" t="str">
        <x:v>2023-02</x:v>
      </x:c>
      <x:c r="C23" s="19" t="str">
        <x:v>Oracle</x:v>
      </x:c>
      <x:c r="D23" s="43" t="str">
        <x:v>Technical Carbon Calculation Guidance v1.0</x:v>
      </x:c>
      <x:c r="E23" s="43" t="str">
        <x:v>technical_brief</x:v>
      </x:c>
      <x:c r="F23" s="43" t="str">
        <x:v>https://www.oracle.com/a/ocom/docs/corporate/technical-carbon-calculation-guidance.pdf</x:v>
      </x:c>
      <x:c r="G23" s="43" t="str">
        <x:v>Oracle OCI 2026-09-11 review</x:v>
      </x:c>
      <x:c r="H23" s="43" t="str">
        <x:v>primary_read</x:v>
      </x:c>
      <x:c r="I23" s="43" t="str">
        <x:v>pp.4-6 carbon boundary and calculation methodology</x:v>
      </x:c>
    </x:row>
    <x:row r="24">
      <x:c r="A24" s="19" t="str">
        <x:v>SRC-ORCL-GREEN-CLOUD-20260911</x:v>
      </x:c>
      <x:c r="B24" s="45" t="n">
        <x:v>46276</x:v>
      </x:c>
      <x:c r="C24" s="19" t="str">
        <x:v>Oracle</x:v>
      </x:c>
      <x:c r="D24" s="43" t="str">
        <x:v>Oracle Cloud sustainability</x:v>
      </x:c>
      <x:c r="E24" s="43" t="str">
        <x:v>issuer_webpage</x:v>
      </x:c>
      <x:c r="F24" s="43" t="str">
        <x:v>https://www.oracle.com/sustainability/green-cloud/</x:v>
      </x:c>
      <x:c r="G24" s="43" t="str">
        <x:v>Oracle OCI 2026-09-11 review</x:v>
      </x:c>
      <x:c r="H24" s="43" t="str">
        <x:v>primary_read</x:v>
      </x:c>
      <x:c r="I24" s="43" t="str">
        <x:v>Clean cloud; Measurement; linked datasheets</x:v>
      </x:c>
    </x:row>
    <x:row r="25">
      <x:c r="A25" s="19" t="str">
        <x:v>SRC-OPENAI-ORACLE-20250722</x:v>
      </x:c>
      <x:c r="B25" s="45" t="n">
        <x:v>45860</x:v>
      </x:c>
      <x:c r="C25" s="19" t="str">
        <x:v>OpenAI</x:v>
      </x:c>
      <x:c r="D25" s="43" t="str">
        <x:v>Stargate advances with 4.5 GW partnership with Oracle</x:v>
      </x:c>
      <x:c r="E25" s="43" t="str">
        <x:v>counterparty_announcement</x:v>
      </x:c>
      <x:c r="F25" s="43" t="str">
        <x:v>https://openai.com/index/stargate-advances-with-partnership-with-oracle/</x:v>
      </x:c>
      <x:c r="G25" s="43" t="str">
        <x:v>Oracle OCI 2026-09-11 review</x:v>
      </x:c>
      <x:c r="H25" s="43" t="str">
        <x:v>primary_read</x:v>
      </x:c>
      <x:c r="I25" s="43" t="str">
        <x:v>Opening agreement; Abilene initial workloads</x:v>
      </x:c>
    </x:row>
    <x:row r="26">
      <x:c r="A26" s="19" t="str">
        <x:v>SRC-OPENAI-STARGATE-20250923</x:v>
      </x:c>
      <x:c r="B26" s="45" t="n">
        <x:v>45923</x:v>
      </x:c>
      <x:c r="C26" s="19" t="str">
        <x:v>OpenAI</x:v>
      </x:c>
      <x:c r="D26" s="43" t="str">
        <x:v>Five new Stargate sites</x:v>
      </x:c>
      <x:c r="E26" s="43" t="str">
        <x:v>counterparty_announcement</x:v>
      </x:c>
      <x:c r="F26" s="43" t="str">
        <x:v>https://openai.com/index/five-new-stargate-sites/</x:v>
      </x:c>
      <x:c r="G26" s="43" t="str">
        <x:v>Oracle OCI 2026-09-11 review</x:v>
      </x:c>
      <x:c r="H26" s="43" t="str">
        <x:v>primary_read</x:v>
      </x:c>
      <x:c r="I26" s="43" t="str">
        <x:v>Oracle partnership paragraphs; Wisconsin update</x:v>
      </x:c>
    </x:row>
    <x:row r="27">
      <x:c r="A27" s="19" t="str">
        <x:v>SRC-CRUSOE-ABILENE-20250521</x:v>
      </x:c>
      <x:c r="B27" s="45" t="n">
        <x:v>45798</x:v>
      </x:c>
      <x:c r="C27" s="19" t="str">
        <x:v>Crusoe</x:v>
      </x:c>
      <x:c r="D27" s="43" t="str">
        <x:v>Second phase of USD15 billion Abilene joint venture</x:v>
      </x:c>
      <x:c r="E27" s="43" t="str">
        <x:v>counterparty_project_financing</x:v>
      </x:c>
      <x:c r="F27" s="43" t="str">
        <x:v>https://www.crusoe.ai/resources/newsroom/crusoe-blue-owl-capital-and-primary-digital-infrastructure-enter-joint-venture</x:v>
      </x:c>
      <x:c r="G27" s="43" t="str">
        <x:v>Oracle OCI 2026-09-11 review</x:v>
      </x:c>
      <x:c r="H27" s="43" t="str">
        <x:v>primary_read</x:v>
      </x:c>
      <x:c r="I27" s="43" t="str">
        <x:v>Opening JV terms; phase schedule; cooling design</x:v>
      </x:c>
    </x:row>
    <x:row r="28">
      <x:c r="A28" s="19" t="str">
        <x:v>SRC-ORCL-REVOLVER-20260306</x:v>
      </x:c>
      <x:c r="B28" s="45" t="n">
        <x:v>46092</x:v>
      </x:c>
      <x:c r="C28" s="19" t="str">
        <x:v>Oracle / SEC</x:v>
      </x:c>
      <x:c r="D28" s="43" t="str">
        <x:v>USD10 billion revolving credit agreement dated March 6 2026</x:v>
      </x:c>
      <x:c r="E28" s="43" t="str">
        <x:v>10-Q Exhibit 10.17</x:v>
      </x:c>
      <x:c r="F28" s="43" t="str">
        <x:v>https://www.sec.gov/Archives/edgar/data/1341439/000119312526101045/orcl-ex10_17.htm</x:v>
      </x:c>
      <x:c r="G28" s="43" t="str">
        <x:v>Oracle OCI 2026-09-11 review</x:v>
      </x:c>
      <x:c r="H28" s="43" t="str">
        <x:v>primary_read</x:v>
      </x:c>
      <x:c r="I28" s="43" t="str">
        <x:v>Cover; sections 2.01, 2.08, 2.21 and 6.02</x:v>
      </x:c>
    </x:row>
    <x:row r="29">
      <x:c r="A29" s="19" t="str">
        <x:v>SRC-ORCL-Q1FY27-EVENT</x:v>
      </x:c>
      <x:c r="B29" s="45" t="n">
        <x:v>46275</x:v>
      </x:c>
      <x:c r="C29" s="19" t="str">
        <x:v>Oracle</x:v>
      </x:c>
      <x:c r="D29" s="43" t="str">
        <x:v>Q1 FY27 earnings event</x:v>
      </x:c>
      <x:c r="E29" s="43" t="str">
        <x:v>issuer_event</x:v>
      </x:c>
      <x:c r="F29" s="43" t="str">
        <x:v>https://investor.oracle.com/events-and-presentations/event-details/2026/Q1-FY27-Earnings/default.aspx</x:v>
      </x:c>
      <x:c r="G29" s="43" t="str">
        <x:v>Oracle OCI 2026-09-11 review</x:v>
      </x:c>
      <x:c r="H29" s="43" t="str">
        <x:v>metadata_read_transcript_unavailable</x:v>
      </x:c>
      <x:c r="I29" s="43" t="str">
        <x:v>Event date and webcast link; linked player returned no readable transcript</x:v>
      </x:c>
    </x:row>
    <x:row r="30">
      <x:c r="A30" s="19" t="str">
        <x:v>SRC-CRWV-10K-FY25</x:v>
      </x:c>
      <x:c r="B30" s="45" t="n">
        <x:v>46083</x:v>
      </x:c>
      <x:c r="C30" s="19" t="str">
        <x:v>CoreWeave / SEC</x:v>
      </x:c>
      <x:c r="D30" s="43" t="str">
        <x:v>FY2025 Form 10-K</x:v>
      </x:c>
      <x:c r="E30" s="43" t="str">
        <x:v>10-K</x:v>
      </x:c>
      <x:c r="F30" s="43" t="str">
        <x:v>https://www.sec.gov/Archives/edgar/data/1769628/000176962826000104/crwv-20251231.htm</x:v>
      </x:c>
      <x:c r="G30" s="43" t="str">
        <x:v>CoreWeave 2026-09-12 review</x:v>
      </x:c>
      <x:c r="H30" s="43" t="str">
        <x:v>primary_read</x:v>
      </x:c>
      <x:c r="I30" s="43" t="str">
        <x:v>Item 1 pp.5-11; revenue pp.97-102; leases pp.111-112; debt pp.113-116</x:v>
      </x:c>
    </x:row>
    <x:row r="31">
      <x:c r="A31" s="19" t="str">
        <x:v>SRC-CRWV-10Q-Q2FY26</x:v>
      </x:c>
      <x:c r="B31" s="45" t="n">
        <x:v>46246</x:v>
      </x:c>
      <x:c r="C31" s="19" t="str">
        <x:v>CoreWeave / SEC</x:v>
      </x:c>
      <x:c r="D31" s="43" t="str">
        <x:v>Q2 2026 Form 10-Q</x:v>
      </x:c>
      <x:c r="E31" s="43" t="str">
        <x:v>10-Q</x:v>
      </x:c>
      <x:c r="F31" s="43" t="str">
        <x:v>https://www.sec.gov/Archives/edgar/data/1769628/000176962826000366/crwv-20260630.htm</x:v>
      </x:c>
      <x:c r="G31" s="43" t="str">
        <x:v>CoreWeave 2026-09-12 review</x:v>
      </x:c>
      <x:c r="H31" s="43" t="str">
        <x:v>primary_read</x:v>
      </x:c>
      <x:c r="I31" s="43" t="str">
        <x:v>Note 2 pp.14-15; Note 3 pp.15-17; Note 5 p.20; Note 9 pp.23-25; Note 10 pp.26-31; MD&amp;A pp.42-47</x:v>
      </x:c>
    </x:row>
    <x:row r="32">
      <x:c r="A32" s="19" t="str">
        <x:v>SRC-CRWV-Q1FY26-ER</x:v>
      </x:c>
      <x:c r="B32" s="45" t="n">
        <x:v>46149</x:v>
      </x:c>
      <x:c r="C32" s="19" t="str">
        <x:v>CoreWeave</x:v>
      </x:c>
      <x:c r="D32" s="43" t="str">
        <x:v>CoreWeave Reports Strong First Quarter 2026 Results</x:v>
      </x:c>
      <x:c r="E32" s="43" t="str">
        <x:v>issuer_earnings_release</x:v>
      </x:c>
      <x:c r="F32" s="43" t="str">
        <x:v>https://investors.coreweave.com/news/news-details/2026/CoreWeave-Reports-Strong-First-Quarter-2026-Results/default.aspx</x:v>
      </x:c>
      <x:c r="G32" s="43" t="str">
        <x:v>CoreWeave opening power and contracts</x:v>
      </x:c>
      <x:c r="H32" s="43" t="str">
        <x:v>primary_read</x:v>
      </x:c>
      <x:c r="I32" s="43" t="str">
        <x:v>Financial and power highlights; DDTL 4.0</x:v>
      </x:c>
    </x:row>
    <x:row r="33">
      <x:c r="A33" s="19" t="str">
        <x:v>SRC-CRWV-Q2FY26-ER</x:v>
      </x:c>
      <x:c r="B33" s="45" t="n">
        <x:v>46245</x:v>
      </x:c>
      <x:c r="C33" s="19" t="str">
        <x:v>CoreWeave</x:v>
      </x:c>
      <x:c r="D33" s="43" t="str">
        <x:v>CoreWeave Reports Strong Second Quarter 2026 Results</x:v>
      </x:c>
      <x:c r="E33" s="43" t="str">
        <x:v>issuer_earnings_release</x:v>
      </x:c>
      <x:c r="F33" s="43" t="str">
        <x:v>https://investors.coreweave.com/news/news-details/2026/CoreWeave-Reports-Strong-Second-Quarter-2026-Results/</x:v>
      </x:c>
      <x:c r="G33" s="43" t="str">
        <x:v>CoreWeave Q2 revenue power and backlog</x:v>
      </x:c>
      <x:c r="H33" s="43" t="str">
        <x:v>primary_read</x:v>
      </x:c>
      <x:c r="I33" s="43" t="str">
        <x:v>Financial highlights; backlog footnote; active and contracted power</x:v>
      </x:c>
    </x:row>
    <x:row r="34">
      <x:c r="A34" s="19" t="str">
        <x:v>SRC-CRWV-DDTL55-8K</x:v>
      </x:c>
      <x:c r="B34" s="45" t="n">
        <x:v>46244</x:v>
      </x:c>
      <x:c r="C34" s="19" t="str">
        <x:v>CoreWeave / SEC</x:v>
      </x:c>
      <x:c r="D34" s="43" t="str">
        <x:v>DDTL 5.5 Facility Form 8-K</x:v>
      </x:c>
      <x:c r="E34" s="43" t="str">
        <x:v>8-K</x:v>
      </x:c>
      <x:c r="F34" s="43" t="str">
        <x:v>https://www.sec.gov/Archives/edgar/data/1769628/000176962826000357/crwv-20260807.htm</x:v>
      </x:c>
      <x:c r="G34" s="43" t="str">
        <x:v>CoreWeave DDTL 5.5</x:v>
      </x:c>
      <x:c r="H34" s="43" t="str">
        <x:v>primary_read</x:v>
      </x:c>
      <x:c r="I34" s="43" t="str">
        <x:v>Item 1.01 amount use maturity pricing guarantees collateral and DSCR</x:v>
      </x:c>
    </x:row>
    <x:row r="35">
      <x:c r="A35" s="19" t="str">
        <x:v>SRC-CRWV-DDTL55-EX10</x:v>
      </x:c>
      <x:c r="B35" s="45" t="n">
        <x:v>46241</x:v>
      </x:c>
      <x:c r="C35" s="19" t="str">
        <x:v>CoreWeave / SEC</x:v>
      </x:c>
      <x:c r="D35" s="43" t="str">
        <x:v>DDTL 5.5 Credit Agreement</x:v>
      </x:c>
      <x:c r="E35" s="43" t="str">
        <x:v>8-K Exhibit 10.1</x:v>
      </x:c>
      <x:c r="F35" s="43" t="str">
        <x:v>https://www.sec.gov/Archives/edgar/data/1769628/000176962826000357/ex101creditagreement.htm</x:v>
      </x:c>
      <x:c r="G35" s="43" t="str">
        <x:v>CoreWeave DDTL 5.5 terms</x:v>
      </x:c>
      <x:c r="H35" s="43" t="str">
        <x:v>primary_read</x:v>
      </x:c>
      <x:c r="I35" s="43" t="str">
        <x:v>Definitions and sections 2.01 2.06 2.08-2.11</x:v>
      </x:c>
    </x:row>
    <x:row r="36">
      <x:c r="A36" s="19" t="str">
        <x:v>SRC-CRWV-DDTL55-GUARANTEE</x:v>
      </x:c>
      <x:c r="B36" s="45" t="n">
        <x:v>46241</x:v>
      </x:c>
      <x:c r="C36" s="19" t="str">
        <x:v>CoreWeave / SEC</x:v>
      </x:c>
      <x:c r="D36" s="43" t="str">
        <x:v>DDTL 5.5 Parent Guarantee and Pledge Agreement</x:v>
      </x:c>
      <x:c r="E36" s="43" t="str">
        <x:v>8-K Exhibit 10.2</x:v>
      </x:c>
      <x:c r="F36" s="43" t="str">
        <x:v>https://www.sec.gov/Archives/edgar/data/1769628/000176962826000357/ex102parentguarantee.htm</x:v>
      </x:c>
      <x:c r="G36" s="43" t="str">
        <x:v>CoreWeave DDTL 5.5 guarantee</x:v>
      </x:c>
      <x:c r="H36" s="43" t="str">
        <x:v>primary_read</x:v>
      </x:c>
      <x:c r="I36" s="43" t="str">
        <x:v>Section 2.1 unconditional and irrevocable guarantee</x:v>
      </x:c>
    </x:row>
    <x:row r="37">
      <x:c r="A37" s="19" t="str">
        <x:v>SRC-CRWV-DDTL50-20260518</x:v>
      </x:c>
      <x:c r="B37" s="45" t="n">
        <x:v>46160</x:v>
      </x:c>
      <x:c r="C37" s="19" t="str">
        <x:v>CoreWeave</x:v>
      </x:c>
      <x:c r="D37" s="43" t="str">
        <x:v>CoreWeave Closes USD3.1 Billion Loan Facility</x:v>
      </x:c>
      <x:c r="E37" s="43" t="str">
        <x:v>issuer_financing_release</x:v>
      </x:c>
      <x:c r="F37" s="43" t="str">
        <x:v>https://investors.coreweave.com/news/news-details/2026/CoreWeave-Closes-3-1-Billion-Loan-Facility-Expanding-Access-to-Public-Markets-for-GPU-Backed-Financing/</x:v>
      </x:c>
      <x:c r="G37" s="43" t="str">
        <x:v>CoreWeave DDTL 5.0</x:v>
      </x:c>
      <x:c r="H37" s="43" t="str">
        <x:v>primary_read</x:v>
      </x:c>
      <x:c r="I37" s="43" t="str">
        <x:v>Two non-investment-grade customer contracts; SOFR plus 4.50%; approximately 5.5 years</x:v>
      </x:c>
    </x:row>
    <x:row r="38">
      <x:c r="A38" s="20" t="str">
        <x:v>SRC-CRWV-META-20260409</x:v>
      </x:c>
      <x:c r="B38" s="46" t="n">
        <x:v>46121</x:v>
      </x:c>
      <x:c r="C38" s="20" t="str">
        <x:v>CoreWeave</x:v>
      </x:c>
      <x:c r="D38" s="44" t="str">
        <x:v>CoreWeave and Meta Announce USD21 Billion Expanded AI Infrastructure Agreement</x:v>
      </x:c>
      <x:c r="E38" s="44" t="str">
        <x:v>issuer_customer_agreement</x:v>
      </x:c>
      <x:c r="F38" s="44" t="str">
        <x:v>https://investors.coreweave.com/news/news-details/2026/CoreWeave-and-Meta-Announce-21-Billion-Expanded-AI-Infrastructure-Agreement/default.aspx</x:v>
      </x:c>
      <x:c r="G38" s="44" t="str">
        <x:v>CoreWeave Meta agreement</x:v>
      </x:c>
      <x:c r="H38" s="44" t="str">
        <x:v>primary_read</x:v>
      </x:c>
      <x:c r="I38" s="44" t="str">
        <x:v>Dedicated multi-location capacity through December 2032; initial Vera Rubin deployments</x:v>
      </x:c>
    </x:row>
  </x:sheetData>
  <x:pageMargins left="0.7" right="0.7" top="0.75" bottom="0.75" header="0.3" footer="0.3"/>
  <x:tableParts count="1">
    <x:tablePart xmlns:r="http://schemas.openxmlformats.org/officeDocument/2006/relationships" r:id="Rf3fab472898a49ce"/>
  </x:tableParts>
</x:worksheet>
</file>

<file path=xl/worksheets/sheet7.xml><?xml version="1.0" encoding="utf-8"?>
<x:worksheet xmlns:x="http://schemas.openxmlformats.org/spreadsheetml/2006/main">
  <x:sheetPr>
    <x:tabColor rgb="FF8E9AA3"/>
  </x:sheetPr>
  <x:sheetViews>
    <x:sheetView showGridLines="0" workbookViewId="0"/>
  </x:sheetViews>
  <x:sheetFormatPr defaultRowHeight="15"/>
  <x:cols>
    <x:col min="1" max="1" width="24" hidden="0" customWidth="1"/>
    <x:col min="2" max="2" width="95" hidden="0" customWidth="1"/>
  </x:cols>
  <x:sheetData>
    <x:row r="2">
      <x:c r="A2" s="2" t="str">
        <x:v>How to update this workbook</x:v>
      </x:c>
      <x:c r="B2" s="1"/>
      <x:c r="C2" s="1"/>
      <x:c r="D2" s="1"/>
      <x:c r="E2" s="1"/>
      <x:c r="F2" s="1"/>
    </x:row>
    <x:row r="3">
      <x:c r="A3" s="3" t="str">
        <x:v>The CSV files are the git-diffable input layer; this workbook is the reader-facing calculation layer.</x:v>
      </x:c>
      <x:c r="B3" s="3"/>
      <x:c r="C3" s="3"/>
      <x:c r="D3" s="3"/>
      <x:c r="E3" s="3"/>
      <x:c r="F3" s="3"/>
    </x:row>
    <x:row r="5" ht="32" customHeight="1">
      <x:c r="A5" s="15" t="str">
        <x:v>Rule</x:v>
      </x:c>
      <x:c r="B5" s="17" t="str">
        <x:v>Required action</x:v>
      </x:c>
    </x:row>
    <x:row r="6">
      <x:c r="A6" s="19" t="str">
        <x:v>Power scope</x:v>
      </x:c>
      <x:c r="B6" s="43" t="str">
        <x:v>Label every MW as generation, facility, IT load, or effective utilized IT.</x:v>
      </x:c>
    </x:row>
    <x:row r="7">
      <x:c r="A7" s="19" t="str">
        <x:v>Period</x:v>
      </x:c>
      <x:c r="B7" s="43" t="str">
        <x:v>Match revenue to weighted-average active capacity for the same period.</x:v>
      </x:c>
    </x:row>
    <x:row r="8">
      <x:c r="A8" s="19" t="str">
        <x:v>Attribution</x:v>
      </x:c>
      <x:c r="B8" s="43" t="str">
        <x:v>Keep AI or compute attribution explicit and sourced. Blank is acceptable.</x:v>
      </x:c>
    </x:row>
    <x:row r="9">
      <x:c r="A9" s="19" t="str">
        <x:v>Company method</x:v>
      </x:c>
      <x:c r="B9" s="43" t="str">
        <x:v>Use the registered method; do not force every company through one numerator.</x:v>
      </x:c>
    </x:row>
    <x:row r="10">
      <x:c r="A10" s="19" t="str">
        <x:v>Contracted compute</x:v>
      </x:c>
      <x:c r="B10" s="43" t="str">
        <x:v>Separate contract rate from physical utilization and realized revenue.</x:v>
      </x:c>
    </x:row>
    <x:row r="11">
      <x:c r="A11" s="19" t="str">
        <x:v>Token price</x:v>
      </x:c>
      <x:c r="B11" s="43" t="str">
        <x:v>Use realized expenditure for the Jevons test; list price is a separate series.</x:v>
      </x:c>
    </x:row>
    <x:row r="12">
      <x:c r="A12" s="19" t="str">
        <x:v>Exact break-even</x:v>
      </x:c>
      <x:c r="B12" s="43" t="str">
        <x:v>Price decline d requires volume growth d / (1 - d) to hold revenue flat.</x:v>
      </x:c>
    </x:row>
    <x:row r="13">
      <x:c r="A13" s="19" t="str">
        <x:v>Sources</x:v>
      </x:c>
      <x:c r="B13" s="43" t="str">
        <x:v>Add a source ID before adding a hard-coded observation.</x:v>
      </x:c>
    </x:row>
    <x:row r="14">
      <x:c r="A14" s="19" t="str">
        <x:v>Unknowns</x:v>
      </x:c>
      <x:c r="B14" s="43" t="str">
        <x:v>Leave missing numerators or denominators blank; never replace them with zero.</x:v>
      </x:c>
    </x:row>
    <x:row r="15">
      <x:c r="A15" s="20" t="str">
        <x:v>Corrections</x:v>
      </x:c>
      <x:c r="B15" s="44" t="str">
        <x:v>Retain superseded observations and state what changed.</x:v>
      </x:c>
    </x:row>
  </x:sheetData>
  <x:pageMargins left="0.7" right="0.7" top="0.75" bottom="0.75" header="0.3" footer="0.3"/>
</x:worksheet>
</file>