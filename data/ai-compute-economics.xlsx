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4c3977e06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d81a709ab64bf9"/>
    <x:sheet xmlns:r="http://schemas.openxmlformats.org/officeDocument/2006/relationships" name="Company Models" sheetId="2" r:id="Rd6ac2691c59c488f"/>
    <x:sheet xmlns:r="http://schemas.openxmlformats.org/officeDocument/2006/relationships" name="Methods" sheetId="3" r:id="R57b6d850e387484f"/>
    <x:sheet xmlns:r="http://schemas.openxmlformats.org/officeDocument/2006/relationships" name="Token Economics" sheetId="4" r:id="R8373101135494ebd"/>
    <x:sheet xmlns:r="http://schemas.openxmlformats.org/officeDocument/2006/relationships" name="Benchmarks" sheetId="5" r:id="R155c9f989e3f4908"/>
    <x:sheet xmlns:r="http://schemas.openxmlformats.org/officeDocument/2006/relationships" name="Sources" sheetId="6" r:id="Rb9a56a9930dd4cfb"/>
    <x:sheet xmlns:r="http://schemas.openxmlformats.org/officeDocument/2006/relationships" name="Read Me" sheetId="7" r:id="R5a487a3e5e89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;[Red]($#,##0);-"/>
    <x:numFmt numFmtId="201" formatCode="0.0x"/>
    <x:numFmt numFmtId="202" formatCode="0.0%"/>
    <x:numFmt numFmtId="203" formatCode="#,##0.0"/>
    <x:numFmt numFmtId="204" formatCode="0.00"/>
    <x:numFmt numFmtId="205" formatCode="$#,##0.0"/>
    <x:numFmt numFmtId="206" formatCode="mm/dd/yy"/>
    <x:numFmt numFmtId="207" formatCode="0.0000"/>
    <x:numFmt numFmtId="208" formatCode="0.00x"/>
    <x:numFmt numFmtId="209" formatCode="$0.0"/>
  </x:numFmts>
  <x:fonts count="8">
    <x:font>
      <x:sz val="11"/>
      <x:name val="Carlito"/>
    </x:font>
    <x:font>
      <x:b/>
      <x:sz val="15"/>
      <x:color rgb="FF172B3A"/>
      <x:name val="Arial"/>
    </x:font>
    <x:font>
      <x:i/>
      <x:sz val="10"/>
      <x:color rgb="FF5B6670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66CC"/>
      <x:name val="Arial"/>
    </x:font>
    <x:font>
      <x:sz val="10"/>
      <x:color rgb="FF000000"/>
      <x:name val="Arial"/>
    </x:font>
    <x:font>
      <x:b/>
      <x:sz val="11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15C"/>
      </x:patternFill>
    </x:fill>
    <x:fill>
      <x:patternFill patternType="solid">
        <x:fgColor rgb="FFFFF4CC"/>
      </x:patternFill>
    </x:fill>
    <x:fill>
      <x:patternFill patternType="solid">
        <x:fgColor rgb="FFDCEAF5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23415C"/>
      </x:bottom>
      <x:diagonal/>
    </x:border>
    <x:border>
      <x:left/>
      <x:right style="thin">
        <x:color rgb="FFFFFFFF"/>
      </x:right>
      <x:top/>
      <x:bottom style="medium">
        <x:color rgb="FF23415C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23415C"/>
      </x:bottom>
      <x:diagonal/>
    </x:border>
    <x:border>
      <x:left style="thin">
        <x:color rgb="FFFFFFFF"/>
      </x:left>
      <x:right/>
      <x:top/>
      <x:bottom style="medium">
        <x:color rgb="FF23415C"/>
      </x:bottom>
      <x:diagonal/>
    </x:border>
    <x:border>
      <x:left/>
      <x:right/>
      <x:top/>
      <x:bottom style="thin">
        <x:color rgb="FFD9E1E8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3" fontId="5" fillId="3" borderId="5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5" fillId="3" borderId="5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6" fillId="0" borderId="5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5" fontId="6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7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/>
    <x:xf numFmtId="202" fontId="4" fillId="0" borderId="0" xfId="0" applyNumberFormat="1" applyFont="1" applyFill="1" applyBorder="1"/>
    <x:xf numFmtId="208" fontId="4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3" borderId="0" xfId="0" applyNumberFormat="1" applyFont="1" applyFill="1" applyBorder="1"/>
    <x:xf numFmtId="209" fontId="4" fillId="0" borderId="0" xfId="0" applyNumberFormat="1" applyFont="1" applyFill="1" applyBorder="1" applyAlignment="1">
      <x:alignment vertical="center"/>
    </x:xf>
    <x:xf numFmtId="209" fontId="4" fillId="0" borderId="5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69b8476e54644" /><Relationship Type="http://schemas.openxmlformats.org/officeDocument/2006/relationships/theme" Target="/xl/theme/theme1.xml" Id="R518eed218cb741e0" /><Relationship Type="http://schemas.openxmlformats.org/officeDocument/2006/relationships/sharedStrings" Target="/xl/sharedStrings.xml" Id="R07cd40b0f628401b" /><Relationship Type="http://schemas.openxmlformats.org/officeDocument/2006/relationships/worksheet" Target="/xl/worksheets/sheet1.xml" Id="R59d81a709ab64bf9" /><Relationship Type="http://schemas.openxmlformats.org/officeDocument/2006/relationships/worksheet" Target="/xl/worksheets/sheet2.xml" Id="Rd6ac2691c59c488f" /><Relationship Type="http://schemas.openxmlformats.org/officeDocument/2006/relationships/worksheet" Target="/xl/worksheets/sheet3.xml" Id="R57b6d850e387484f" /><Relationship Type="http://schemas.openxmlformats.org/officeDocument/2006/relationships/worksheet" Target="/xl/worksheets/sheet4.xml" Id="R8373101135494ebd" /><Relationship Type="http://schemas.openxmlformats.org/officeDocument/2006/relationships/worksheet" Target="/xl/worksheets/sheet5.xml" Id="R155c9f989e3f4908" /><Relationship Type="http://schemas.openxmlformats.org/officeDocument/2006/relationships/worksheet" Target="/xl/worksheets/sheet6.xml" Id="Rb9a56a9930dd4cfb" /><Relationship Type="http://schemas.openxmlformats.org/officeDocument/2006/relationships/worksheet" Target="/xl/worksheets/sheet7.xml" Id="R5a487a3e5e894414" /></Relationships>
</file>

<file path=xl/tables/table1.xml><?xml version="1.0" encoding="utf-8"?>
<x:table xmlns:x="http://schemas.openxmlformats.org/spreadsheetml/2006/main" id="1" name="CompanyMethodsTable" displayName="CompanyMethodsTable" ref="A4:G19" headerRowCount="1" totalsRowCount="0" totalsRowShown="0">
  <x:tableColumns count="7">
    <x:tableColumn id="1" name="Method ID"/>
    <x:tableColumn id="2" name="Company"/>
    <x:tableColumn id="3" name="Role"/>
    <x:tableColumn id="4" name="Numerator"/>
    <x:tableColumn id="5" name="Denominator"/>
    <x:tableColumn id="6" name="Unique adjustment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kenEconomicsTable" displayName="TokenEconomicsTable" ref="A4:I32" headerRowCount="1" totalsRowCount="0" totalsRowShown="0">
  <x:tableColumns count="9">
    <x:tableColumn id="1" name="Date"/>
    <x:tableColumn id="2" name="Dataset"/>
    <x:tableColumn id="3" name="Metric"/>
    <x:tableColumn id="4" name="Value"/>
    <x:tableColumn id="5" name="Unit"/>
    <x:tableColumn id="6" name="Window"/>
    <x:tableColumn id="7" name="Source ID"/>
    <x:tableColumn id="8" name="Evidence state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Table" displayName="SourceRegisterTable" ref="A4:I214" headerRowCount="1" totalsRowCount="0" totalsRowShown="0">
  <x:tableColumns count="9">
    <x:tableColumn id="1" name="Source ID"/>
    <x:tableColumn id="2" name="Date"/>
    <x:tableColumn id="3" name="Publisher"/>
    <x:tableColumn id="4" name="Title"/>
    <x:tableColumn id="5" name="Artifact type"/>
    <x:tableColumn id="6" name="Url"/>
    <x:tableColumn id="7" name="Supports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61e8ba56d21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01fa90c522842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6ad833067f6462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52" hidden="0" customWidth="1"/>
    <x:col min="2" max="2" width="24" hidden="0" customWidth="1"/>
    <x:col min="3" max="3" width="18" hidden="0" customWidth="1"/>
    <x:col min="4" max="4" width="35" hidden="0" customWidth="1"/>
    <x:col min="5" max="5" width="14" hidden="0" customWidth="1"/>
    <x:col min="6" max="6" width="14" hidden="0" customWidth="1"/>
    <x:col min="7" max="7" width="24" hidden="0" customWidth="1"/>
    <x:col min="8" max="8" width="42" hidden="0" customWidth="1"/>
  </x:cols>
  <x:sheetData>
    <x:row r="2">
      <x:c r="A2" s="2" t="str">
        <x:v>AI compute economics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Revenue manufactured per effective utilized IT MW, with token monetization and capex context.</x:v>
      </x:c>
      <x:c r="B3" s="3"/>
      <x:c r="C3" s="3"/>
      <x:c r="D3" s="3"/>
      <x:c r="E3" s="3"/>
      <x:c r="F3" s="3"/>
      <x:c r="G3" s="3"/>
      <x:c r="H3" s="3"/>
    </x:row>
    <x:row r="5" ht="32" customHeight="1">
      <x:c r="A5" s="15" t="str">
        <x:v>Current measures</x:v>
      </x:c>
      <x:c r="B5" s="17" t="str">
        <x:v>Value</x:v>
      </x:c>
      <x:c r="D5" s="15" t="str">
        <x:v>Benchmark</x:v>
      </x:c>
      <x:c r="E5" s="16" t="str">
        <x:v>Low</x:v>
      </x:c>
      <x:c r="F5" s="16" t="str">
        <x:v>High</x:v>
      </x:c>
      <x:c r="G5" s="16" t="str">
        <x:v>Class</x:v>
      </x:c>
      <x:c r="H5" s="17" t="str">
        <x:v>Question</x:v>
      </x:c>
    </x:row>
    <x:row r="6">
      <x:c r="A6" s="19" t="str">
        <x:v>Companies configured</x:v>
      </x:c>
      <x:c r="B6" s="19" t="n">
        <x:v>15</x:v>
      </x:c>
      <x:c r="D6" s="19" t="str">
        <x:v>Spot compute revenue ($B / IT GW-year)</x:v>
      </x:c>
      <x:c r="E6" s="54" t="n">
        <x:v>10</x:v>
      </x:c>
      <x:c r="F6" s="54" t="n">
        <x:v>12</x:v>
      </x:c>
      <x:c r="G6" s="19" t="str">
        <x:v>Merchant</x:v>
      </x:c>
      <x:c r="H6" s="19" t="str">
        <x:v>Does utilization or price weaken?</x:v>
      </x:c>
    </x:row>
    <x:row r="7">
      <x:c r="A7" s="19" t="str">
        <x:v>Operator outputs calculated</x:v>
      </x:c>
      <x:c r="B7" s="19" t="n">
        <x:f>COUNT('Company Models'!S5:S19)</x:f>
        <x:v>0</x:v>
      </x:c>
      <x:c r="D7" s="19" t="str">
        <x:v>Acceptability line</x:v>
      </x:c>
      <x:c r="E7" s="54" t="n">
        <x:v>15</x:v>
      </x:c>
      <x:c r="F7" s="54" t="n">
        <x:v>15</x:v>
      </x:c>
      <x:c r="G7" s="19" t="str">
        <x:v>External threshold</x:v>
      </x:c>
      <x:c r="H7" s="19" t="str">
        <x:v>Derivation remains open</x:v>
      </x:c>
    </x:row>
    <x:row r="8">
      <x:c r="A8" s="19" t="str">
        <x:v>Bloom Q2 revenue ($B)</x:v>
      </x:c>
      <x:c r="B8" s="54" t="n">
        <x:f>1.065365</x:f>
        <x:v>1.065365</x:v>
      </x:c>
      <x:c r="D8" s="19" t="str">
        <x:v>Nscale / Anthropic</x:v>
      </x:c>
      <x:c r="E8" s="54"/>
      <x:c r="F8" s="54"/>
      <x:c r="G8" s="19" t="str">
        <x:v>Unresolved</x:v>
      </x:c>
      <x:c r="H8" s="19" t="str">
        <x:v>Capacity, term and rate redacted; see primary review</x:v>
      </x:c>
    </x:row>
    <x:row r="9">
      <x:c r="A9" s="20" t="str">
        <x:v>July Jevons result</x:v>
      </x:c>
      <x:c r="B9" s="20" t="str">
        <x:f>'Token Economics'!L10</x:f>
        <x:v>Jevons absorption</x:v>
      </x:c>
      <x:c r="D9" s="20" t="str">
        <x:v>Healthy long-term case</x:v>
      </x:c>
      <x:c r="E9" s="55" t="n">
        <x:v>25</x:v>
      </x:c>
      <x:c r="F9" s="55" t="n">
        <x:v>25</x:v>
      </x:c>
      <x:c r="G9" s="20" t="str">
        <x:v>Aspirational</x:v>
      </x:c>
      <x:c r="H9" s="20" t="str">
        <x:v>Can Rubin lift operator revenue/GW?</x:v>
      </x:c>
    </x:row>
    <x:row r="12" ht="32" customHeight="1">
      <x:c r="A12" s="15" t="str">
        <x:v>Company</x:v>
      </x:c>
      <x:c r="B12" s="16" t="str">
        <x:v>Method</x:v>
      </x:c>
      <x:c r="C12" s="16" t="str">
        <x:v>Role</x:v>
      </x:c>
      <x:c r="D12" s="16" t="str">
        <x:v>Input status</x:v>
      </x:c>
      <x:c r="E12" s="16" t="str">
        <x:v>Revenue $M / effective MW-year</x:v>
      </x:c>
      <x:c r="F12" s="17" t="str">
        <x:v>Calculation status</x:v>
      </x:c>
    </x:row>
    <x:row r="13">
      <x:c r="A13" s="19" t="str">
        <x:f>'Company Models'!A5</x:f>
        <x:v>Microsoft Azure</x:v>
      </x:c>
      <x:c r="B13" s="19" t="str">
        <x:f>'Company Models'!B5</x:f>
        <x:v>SEGMENT-AZURE</x:v>
      </x:c>
      <x:c r="C13" s="19" t="str">
        <x:f>IFERROR(INDEX(Methods!$C$5:$C$19,MATCH(B13,Methods!$A$5:$A$19,0)),"")</x:f>
        <x:v>Hyperscaler</x:v>
      </x:c>
      <x:c r="D13" s="19" t="str">
        <x:f>'Company Models'!N5</x:f>
        <x:v>PARTIAL</x:v>
      </x:c>
      <x:c r="E13" s="58" t="str">
        <x:f>IF('Company Models'!S5="","",'Company Models'!S5)</x:f>
      </x:c>
      <x:c r="F13" s="19" t="str">
        <x:f>'Company Models'!T5</x:f>
        <x:v>Missing numerator or denominator</x:v>
      </x:c>
    </x:row>
    <x:row r="14">
      <x:c r="A14" s="19" t="str">
        <x:f>'Company Models'!A6</x:f>
        <x:v>Amazon AWS</x:v>
      </x:c>
      <x:c r="B14" s="19" t="str">
        <x:f>'Company Models'!B6</x:f>
        <x:v>SEGMENT-AWS</x:v>
      </x:c>
      <x:c r="C14" s="19" t="str">
        <x:f>IFERROR(INDEX(Methods!$C$5:$C$19,MATCH(B14,Methods!$A$5:$A$19,0)),"")</x:f>
        <x:v>Hyperscaler</x:v>
      </x:c>
      <x:c r="D14" s="19" t="str">
        <x:f>'Company Models'!N6</x:f>
        <x:v>PARTIAL</x:v>
      </x:c>
      <x:c r="E14" s="58" t="str">
        <x:f>IF('Company Models'!S6="","",'Company Models'!S6)</x:f>
      </x:c>
      <x:c r="F14" s="19" t="str">
        <x:f>'Company Models'!T6</x:f>
        <x:v>Missing numerator or denominator</x:v>
      </x:c>
    </x:row>
    <x:row r="15">
      <x:c r="A15" s="19" t="str">
        <x:f>'Company Models'!A7</x:f>
        <x:v>Alphabet Google Cloud</x:v>
      </x:c>
      <x:c r="B15" s="19" t="str">
        <x:f>'Company Models'!B7</x:f>
        <x:v>SEGMENT-GCP</x:v>
      </x:c>
      <x:c r="C15" s="19" t="str">
        <x:f>IFERROR(INDEX(Methods!$C$5:$C$19,MATCH(B15,Methods!$A$5:$A$19,0)),"")</x:f>
        <x:v>Hyperscaler</x:v>
      </x:c>
      <x:c r="D15" s="19" t="str">
        <x:f>'Company Models'!N7</x:f>
        <x:v>PARTIAL</x:v>
      </x:c>
      <x:c r="E15" s="58" t="str">
        <x:f>IF('Company Models'!S7="","",'Company Models'!S7)</x:f>
      </x:c>
      <x:c r="F15" s="19" t="str">
        <x:f>'Company Models'!T7</x:f>
        <x:v>Missing numerator or denominator</x:v>
      </x:c>
    </x:row>
    <x:row r="16">
      <x:c r="A16" s="19" t="str">
        <x:f>'Company Models'!A8</x:f>
        <x:v>Meta</x:v>
      </x:c>
      <x:c r="B16" s="19" t="str">
        <x:f>'Company Models'!B8</x:f>
        <x:v>INTERNAL-META</x:v>
      </x:c>
      <x:c r="C16" s="19" t="str">
        <x:f>IFERROR(INDEX(Methods!$C$5:$C$19,MATCH(B16,Methods!$A$5:$A$19,0)),"")</x:f>
        <x:v>Internal compute</x:v>
      </x:c>
      <x:c r="D16" s="19" t="str">
        <x:f>'Company Models'!N8</x:f>
        <x:v>PARTIAL</x:v>
      </x:c>
      <x:c r="E16" s="58" t="str">
        <x:f>IF('Company Models'!S8="","",'Company Models'!S8)</x:f>
      </x:c>
      <x:c r="F16" s="19" t="str">
        <x:f>'Company Models'!T8</x:f>
        <x:v>Missing numerator or denominator</x:v>
      </x:c>
    </x:row>
    <x:row r="17">
      <x:c r="A17" s="19" t="str">
        <x:f>'Company Models'!A9</x:f>
        <x:v>Oracle OCI</x:v>
      </x:c>
      <x:c r="B17" s="19" t="str">
        <x:f>'Company Models'!B9</x:f>
        <x:v>SEGMENT-OCI</x:v>
      </x:c>
      <x:c r="C17" s="19" t="str">
        <x:f>IFERROR(INDEX(Methods!$C$5:$C$19,MATCH(B17,Methods!$A$5:$A$19,0)),"")</x:f>
        <x:v>Hyperscaler</x:v>
      </x:c>
      <x:c r="D17" s="19" t="str">
        <x:f>'Company Models'!N9</x:f>
        <x:v>PARTIAL</x:v>
      </x:c>
      <x:c r="E17" s="58" t="str">
        <x:f>IF('Company Models'!S9="","",'Company Models'!S9)</x:f>
      </x:c>
      <x:c r="F17" s="19" t="str">
        <x:f>'Company Models'!T9</x:f>
        <x:v>Missing numerator or denominator</x:v>
      </x:c>
    </x:row>
    <x:row r="18">
      <x:c r="A18" s="19" t="str">
        <x:f>'Company Models'!A10</x:f>
        <x:v>CoreWeave</x:v>
      </x:c>
      <x:c r="B18" s="19" t="str">
        <x:f>'Company Models'!B10</x:f>
        <x:v>MERCHANT-CRWV</x:v>
      </x:c>
      <x:c r="C18" s="19" t="str">
        <x:f>IFERROR(INDEX(Methods!$C$5:$C$19,MATCH(B18,Methods!$A$5:$A$19,0)),"")</x:f>
        <x:v>Neocloud</x:v>
      </x:c>
      <x:c r="D18" s="19" t="str">
        <x:f>'Company Models'!N10</x:f>
        <x:v>PARTIAL</x:v>
      </x:c>
      <x:c r="E18" s="58" t="str">
        <x:f>IF('Company Models'!S10="","",'Company Models'!S10)</x:f>
      </x:c>
      <x:c r="F18" s="19" t="str">
        <x:f>'Company Models'!T10</x:f>
        <x:v>Missing numerator or denominator</x:v>
      </x:c>
    </x:row>
    <x:row r="19">
      <x:c r="A19" s="19" t="str">
        <x:f>'Company Models'!A11</x:f>
        <x:v>Nebius</x:v>
      </x:c>
      <x:c r="B19" s="19" t="str">
        <x:f>'Company Models'!B11</x:f>
        <x:v>MERCHANT-NBIS</x:v>
      </x:c>
      <x:c r="C19" s="19" t="str">
        <x:f>IFERROR(INDEX(Methods!$C$5:$C$19,MATCH(B19,Methods!$A$5:$A$19,0)),"")</x:f>
        <x:v>Neocloud</x:v>
      </x:c>
      <x:c r="D19" s="19" t="str">
        <x:f>'Company Models'!N11</x:f>
        <x:v>PARTIAL</x:v>
      </x:c>
      <x:c r="E19" s="58" t="str">
        <x:f>IF('Company Models'!S11="","",'Company Models'!S11)</x:f>
      </x:c>
      <x:c r="F19" s="19" t="str">
        <x:f>'Company Models'!T11</x:f>
        <x:v>Missing numerator or denominator</x:v>
      </x:c>
    </x:row>
    <x:row r="20">
      <x:c r="A20" s="19" t="str">
        <x:f>'Company Models'!A12</x:f>
        <x:v>IREN</x:v>
      </x:c>
      <x:c r="B20" s="19" t="str">
        <x:f>'Company Models'!B12</x:f>
        <x:v>MERCHANT-IREN</x:v>
      </x:c>
      <x:c r="C20" s="19" t="str">
        <x:f>IFERROR(INDEX(Methods!$C$5:$C$19,MATCH(B20,Methods!$A$5:$A$19,0)),"")</x:f>
        <x:v>Neocloud</x:v>
      </x:c>
      <x:c r="D20" s="19" t="str">
        <x:f>'Company Models'!N12</x:f>
        <x:v>PARTIAL</x:v>
      </x:c>
      <x:c r="E20" s="58" t="str">
        <x:f>IF('Company Models'!S12="","",'Company Models'!S12)</x:f>
      </x:c>
      <x:c r="F20" s="19" t="str">
        <x:f>'Company Models'!T12</x:f>
        <x:v>Missing numerator or denominator</x:v>
      </x:c>
    </x:row>
    <x:row r="21">
      <x:c r="A21" s="19" t="str">
        <x:f>'Company Models'!A13</x:f>
        <x:v>Nscale / Anthropic</x:v>
      </x:c>
      <x:c r="B21" s="19" t="str">
        <x:f>'Company Models'!B13</x:f>
        <x:v>CONTRACT-NSCALE</x:v>
      </x:c>
      <x:c r="C21" s="19" t="str">
        <x:f>IFERROR(INDEX(Methods!$C$5:$C$19,MATCH(B21,Methods!$A$5:$A$19,0)),"")</x:f>
        <x:v>Contracted compute</x:v>
      </x:c>
      <x:c r="D21" s="19" t="str">
        <x:f>'Company Models'!N13</x:f>
        <x:v>PARTIAL</x:v>
      </x:c>
      <x:c r="E21" s="58" t="str">
        <x:f>IF('Company Models'!S13="","",'Company Models'!S13)</x:f>
      </x:c>
      <x:c r="F21" s="19" t="str">
        <x:f>'Company Models'!T13</x:f>
        <x:v>Missing numerator or denominator</x:v>
      </x:c>
    </x:row>
    <x:row r="22">
      <x:c r="A22" s="19" t="str">
        <x:f>'Company Models'!A14</x:f>
        <x:v>xAI / SpaceX</x:v>
      </x:c>
      <x:c r="B22" s="19" t="str">
        <x:f>'Company Models'!B14</x:f>
        <x:v>PROJECT-XAI</x:v>
      </x:c>
      <x:c r="C22" s="19" t="str">
        <x:f>IFERROR(INDEX(Methods!$C$5:$C$19,MATCH(B22,Methods!$A$5:$A$19,0)),"")</x:f>
        <x:v>Operator segment</x:v>
      </x:c>
      <x:c r="D22" s="19" t="str">
        <x:f>'Company Models'!N14</x:f>
        <x:v>PARTIAL</x:v>
      </x:c>
      <x:c r="E22" s="58" t="str">
        <x:f>IF('Company Models'!S14="","",'Company Models'!S14)</x:f>
      </x:c>
      <x:c r="F22" s="19" t="str">
        <x:f>'Company Models'!T14</x:f>
        <x:v>Missing numerator or denominator</x:v>
      </x:c>
    </x:row>
    <x:row r="23">
      <x:c r="A23" s="19" t="str">
        <x:f>'Company Models'!A15</x:f>
        <x:v>OpenAI / Stargate</x:v>
      </x:c>
      <x:c r="B23" s="19" t="str">
        <x:f>'Company Models'!B15</x:f>
        <x:v>PROJECT-STARGATE</x:v>
      </x:c>
      <x:c r="C23" s="19" t="str">
        <x:f>IFERROR(INDEX(Methods!$C$5:$C$19,MATCH(B23,Methods!$A$5:$A$19,0)),"")</x:f>
        <x:v>Reference project</x:v>
      </x:c>
      <x:c r="D23" s="19" t="str">
        <x:f>'Company Models'!N15</x:f>
        <x:v>PARTIAL</x:v>
      </x:c>
      <x:c r="E23" s="58" t="str">
        <x:f>IF('Company Models'!S15="","",'Company Models'!S15)</x:f>
      </x:c>
      <x:c r="F23" s="19" t="str">
        <x:f>'Company Models'!T15</x:f>
        <x:v>Missing numerator or denominator</x:v>
      </x:c>
    </x:row>
    <x:row r="24">
      <x:c r="A24" s="19" t="str">
        <x:f>'Company Models'!A16</x:f>
        <x:v>NVIDIA</x:v>
      </x:c>
      <x:c r="B24" s="19" t="str">
        <x:f>'Company Models'!B16</x:f>
        <x:v>VENDOR-NVDA</x:v>
      </x:c>
      <x:c r="C24" s="19" t="str">
        <x:f>IFERROR(INDEX(Methods!$C$5:$C$19,MATCH(B24,Methods!$A$5:$A$19,0)),"")</x:f>
        <x:v>Silicon vendor</x:v>
      </x:c>
      <x:c r="D24" s="19" t="str">
        <x:f>'Company Models'!N16</x:f>
        <x:v>VENDOR ONLY</x:v>
      </x:c>
      <x:c r="E24" s="58" t="str">
        <x:f>IF('Company Models'!S16="","",'Company Models'!S16)</x:f>
      </x:c>
      <x:c r="F24" s="19" t="str">
        <x:f>'Company Models'!T16</x:f>
        <x:v>Not an operator output</x:v>
      </x:c>
    </x:row>
    <x:row r="25">
      <x:c r="A25" s="19" t="str">
        <x:f>'Company Models'!A17</x:f>
        <x:v>Broadcom</x:v>
      </x:c>
      <x:c r="B25" s="19" t="str">
        <x:f>'Company Models'!B17</x:f>
        <x:v>VENDOR-AVGO</x:v>
      </x:c>
      <x:c r="C25" s="19" t="str">
        <x:f>IFERROR(INDEX(Methods!$C$5:$C$19,MATCH(B25,Methods!$A$5:$A$19,0)),"")</x:f>
        <x:v>Silicon vendor</x:v>
      </x:c>
      <x:c r="D25" s="19" t="str">
        <x:f>'Company Models'!N17</x:f>
        <x:v>VENDOR ONLY</x:v>
      </x:c>
      <x:c r="E25" s="58" t="str">
        <x:f>IF('Company Models'!S17="","",'Company Models'!S17)</x:f>
      </x:c>
      <x:c r="F25" s="19" t="str">
        <x:f>'Company Models'!T17</x:f>
        <x:v>Not an operator output</x:v>
      </x:c>
    </x:row>
    <x:row r="26">
      <x:c r="A26" s="19" t="str">
        <x:f>'Company Models'!A18</x:f>
        <x:v>Bloom Energy</x:v>
      </x:c>
      <x:c r="B26" s="19" t="str">
        <x:f>'Company Models'!B18</x:f>
        <x:v>SUPPLIER-BLOOM</x:v>
      </x:c>
      <x:c r="C26" s="19" t="str">
        <x:f>IFERROR(INDEX(Methods!$C$5:$C$19,MATCH(B26,Methods!$A$5:$A$19,0)),"")</x:f>
        <x:v>Power supplier</x:v>
      </x:c>
      <x:c r="D26" s="19" t="str">
        <x:f>'Company Models'!N18</x:f>
        <x:v>VENDOR ONLY</x:v>
      </x:c>
      <x:c r="E26" s="58" t="str">
        <x:f>IF('Company Models'!S18="","",'Company Models'!S18)</x:f>
      </x:c>
      <x:c r="F26" s="19" t="str">
        <x:f>'Company Models'!T18</x:f>
        <x:v>Not an operator output</x:v>
      </x:c>
    </x:row>
    <x:row r="27">
      <x:c r="A27" s="20" t="str">
        <x:f>'Company Models'!A19</x:f>
        <x:v>Palantir</x:v>
      </x:c>
      <x:c r="B27" s="20" t="str">
        <x:f>'Company Models'!B19</x:f>
        <x:v>SOFTWARE-PLTR</x:v>
      </x:c>
      <x:c r="C27" s="20" t="str">
        <x:f>IFERROR(INDEX(Methods!$C$5:$C$19,MATCH(B27,Methods!$A$5:$A$19,0)),"")</x:f>
        <x:v>Software</x:v>
      </x:c>
      <x:c r="D27" s="20" t="str">
        <x:f>'Company Models'!N19</x:f>
        <x:v>VENDOR ONLY</x:v>
      </x:c>
      <x:c r="E27" s="59" t="str">
        <x:f>IF('Company Models'!S19="","",'Company Models'!S19)</x:f>
      </x:c>
      <x:c r="F27" s="20" t="str">
        <x:f>'Company Models'!T19</x:f>
        <x:v>Not an operator output</x:v>
      </x:c>
    </x:row>
    <x:row r="28">
      <x:c r="A28" s="61" t="str">
        <x:v>Central forward test</x:v>
      </x:c>
      <x:c r="B28" s="61"/>
      <x:c r="C28" s="61"/>
      <x:c r="D28" s="61"/>
      <x:c r="E28" s="61"/>
      <x:c r="F28" s="61"/>
      <x:c r="G28" s="61"/>
      <x:c r="H28" s="61"/>
    </x:row>
    <x:row r="29" ht="110" customHeight="1">
      <x:c r="A29" s="62" t="str">
        <x:v>Bloom's Nebius agreement implies an aggregate upper bound of $1.04M per guaranteed generation MW-year ($0.793M per installed generation MW-year), not operator revenue per IT MW. Q2 revenue was $1.065B and 73% came from one non-related contractual customer, which can be a project-finance affiliate. Keep the $25B Brookfield framework, project financing, recognized revenue and generation capacity separate; supplier PUE is not applicable.</x:v>
      </x:c>
      <x:c r="B29" s="62"/>
      <x:c r="C29" s="62"/>
      <x:c r="D29" s="62"/>
      <x:c r="E29" s="62"/>
      <x:c r="F29" s="62"/>
      <x:c r="G29" s="62"/>
      <x:c r="H29" s="6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C628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7" hidden="0" customWidth="1"/>
    <x:col min="5" max="5" width="14" hidden="0" customWidth="1"/>
    <x:col min="6" max="6" width="13" hidden="0" customWidth="1"/>
    <x:col min="7" max="7" width="14" hidden="0" customWidth="1"/>
    <x:col min="8" max="8" width="18" hidden="0" customWidth="1"/>
    <x:col min="9" max="9" width="9" hidden="0" customWidth="1"/>
    <x:col min="10" max="10" width="11" hidden="0" customWidth="1"/>
    <x:col min="11" max="11" width="12" hidden="0" customWidth="1"/>
    <x:col min="12" max="12" width="11" hidden="0" customWidth="1"/>
    <x:col min="13" max="13" width="30" hidden="0" customWidth="1"/>
    <x:col min="14" max="14" width="15" hidden="0" customWidth="1"/>
    <x:col min="15" max="15" width="48" hidden="0" customWidth="1"/>
    <x:col min="16" max="16" width="21" hidden="0" customWidth="1"/>
    <x:col min="17" max="17" width="14" hidden="0" customWidth="1"/>
    <x:col min="18" max="18" width="20" hidden="0" customWidth="1"/>
    <x:col min="19" max="19" width="20" hidden="0" customWidth="1"/>
    <x:col min="20" max="20" width="28" hidden="0" customWidth="1"/>
  </x:cols>
  <x:sheetData>
    <x:row r="2">
      <x:c r="A2" s="2" t="str">
        <x:v>Company revenue per effective MW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3" t="str">
        <x:v>Blue cells are editable source inputs. Formula outputs remain blank when a required numerator or denominator is missing.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32" customHeight="1">
      <x:c r="A4" s="15" t="str">
        <x:v>Company</x:v>
      </x:c>
      <x:c r="B4" s="16" t="str">
        <x:v>Method ID</x:v>
      </x:c>
      <x:c r="C4" s="16" t="str">
        <x:v>Period</x:v>
      </x:c>
      <x:c r="D4" s="16" t="str">
        <x:v>Revenue input (USD)</x:v>
      </x:c>
      <x:c r="E4" s="16" t="str">
        <x:v>Annualization factor</x:v>
      </x:c>
      <x:c r="F4" s="16" t="str">
        <x:v>AI / compute attribution</x:v>
      </x:c>
      <x:c r="G4" s="16" t="str">
        <x:v>Reported power (MW)</x:v>
      </x:c>
      <x:c r="H4" s="16" t="str">
        <x:v>Power scope</x:v>
      </x:c>
      <x:c r="I4" s="16" t="str">
        <x:v>PUE</x:v>
      </x:c>
      <x:c r="J4" s="16" t="str">
        <x:v>Availability</x:v>
      </x:c>
      <x:c r="K4" s="16" t="str">
        <x:v>Reserve factor</x:v>
      </x:c>
      <x:c r="L4" s="16" t="str">
        <x:v>Utilization</x:v>
      </x:c>
      <x:c r="M4" s="16" t="str">
        <x:v>Source ID</x:v>
      </x:c>
      <x:c r="N4" s="16" t="str">
        <x:v>Status</x:v>
      </x:c>
      <x:c r="O4" s="16" t="str">
        <x:v>Method note</x:v>
      </x:c>
      <x:c r="P4" s="16" t="str">
        <x:v>Annualized attributed revenue (USD)</x:v>
      </x:c>
      <x:c r="Q4" s="16" t="str">
        <x:v>IT-load MW</x:v>
      </x:c>
      <x:c r="R4" s="16" t="str">
        <x:v>Effective utilized IT MW</x:v>
      </x:c>
      <x:c r="S4" s="16" t="str">
        <x:v>Revenue ($M / effective MW-year)</x:v>
      </x:c>
      <x:c r="T4" s="17" t="str">
        <x:v>Calculation status</x:v>
      </x:c>
    </x:row>
    <x:row r="5">
      <x:c r="A5" s="19" t="str">
        <x:v>Microsoft Azure</x:v>
      </x:c>
      <x:c r="B5" s="19" t="str">
        <x:v>SEGMENT-AZURE</x:v>
      </x:c>
      <x:c r="C5" s="19" t="str">
        <x:v>Q4 FY2026</x:v>
      </x:c>
      <x:c r="D5" s="27" t="n">
        <x:v>29417000000</x:v>
      </x:c>
      <x:c r="E5" s="29" t="n">
        <x:v>4</x:v>
      </x:c>
      <x:c r="F5" s="31"/>
      <x:c r="G5" s="33"/>
      <x:c r="H5" s="23"/>
      <x:c r="I5" s="35"/>
      <x:c r="J5" s="35"/>
      <x:c r="K5" s="35"/>
      <x:c r="L5" s="35"/>
      <x:c r="M5" s="19" t="str">
        <x:v>SRC-MSFT-SEGMENT-EX99-20260902</x:v>
      </x:c>
      <x:c r="N5" s="19" t="str">
        <x:v>PARTIAL</x:v>
      </x:c>
      <x:c r="O5" s="43" t="str">
        <x:v>Restated Azure revenue; AI share, period-average active AI IT MW, physical utilization and matched full-fleet PUE missing. FY2025 PUE 1.17 and implied 1.55GW owned-fleet IT load are boundary diagnostics only; Q4 1GW addition excluded.</x:v>
      </x:c>
      <x:c r="P5" s="37" t="str">
        <x:f>IF(OR(D5="",E5="",F5=""),"",D5*E5*F5)</x:f>
      </x:c>
      <x:c r="Q5" s="39" t="str">
        <x:f>IF(G5="","",IF(H5="IT load",G5,IF(H5="Facility power",IF(I5="","",G5/I5),IF(H5="Generation",IF(OR(I5="",J5="",K5=""),"",G5*J5*K5/I5),IF(H5="Effective utilized IT",G5,"")))))</x:f>
      </x:c>
      <x:c r="R5" s="39" t="str">
        <x:f>IF(Q5="","",IF(H5="Effective utilized IT",Q5,IF(L5="","",Q5*L5)))</x:f>
      </x:c>
      <x:c r="S5" s="41" t="str">
        <x:f>IF(OR(P5="",R5="",R5=0),"",P5/R5/1000000)</x:f>
      </x:c>
      <x:c r="T5" s="25" t="str">
        <x:f>IF(S5&lt;&gt;"","Calculated",IF(OR(N5="VENDOR ONLY",N5="CAPEX ONLY"),"Not an operator output","Missing numerator or denominator"))</x:f>
        <x:v>Missing numerator or denominator</x:v>
      </x:c>
    </x:row>
    <x:row r="6">
      <x:c r="A6" s="19" t="str">
        <x:v>Amazon AWS</x:v>
      </x:c>
      <x:c r="B6" s="19" t="str">
        <x:v>SEGMENT-AWS</x:v>
      </x:c>
      <x:c r="C6" s="19" t="str">
        <x:v>Q2 2026</x:v>
      </x:c>
      <x:c r="D6" s="27" t="n">
        <x:v>42232000000</x:v>
      </x:c>
      <x:c r="E6" s="29" t="n">
        <x:v>4</x:v>
      </x:c>
      <x:c r="F6" s="31"/>
      <x:c r="G6" s="33"/>
      <x:c r="H6" s="23"/>
      <x:c r="I6" s="35"/>
      <x:c r="J6" s="35"/>
      <x:c r="K6" s="35"/>
      <x:c r="L6" s="35"/>
      <x:c r="M6" s="19" t="str">
        <x:v>SRC-AMZN-10Q-Q2FY26</x:v>
      </x:c>
      <x:c r="N6" s="19" t="str">
        <x:v>PARTIAL</x:v>
      </x:c>
      <x:c r="O6" s="43" t="str">
        <x:v>AWS all services; AI/chips run rates overlap and are not Q2 AI revenue. Active AI IT MW and utilization missing. 2025 PUE 1.14 is historical only.</x:v>
      </x:c>
      <x:c r="P6" s="37" t="str">
        <x:f>IF(OR(D6="",E6="",F6=""),"",D6*E6*F6)</x:f>
      </x:c>
      <x:c r="Q6" s="39" t="str">
        <x:f>IF(G6="","",IF(H6="IT load",G6,IF(H6="Facility power",IF(I6="","",G6/I6),IF(H6="Generation",IF(OR(I6="",J6="",K6=""),"",G6*J6*K6/I6),IF(H6="Effective utilized IT",G6,"")))))</x:f>
      </x:c>
      <x:c r="R6" s="39" t="str">
        <x:f>IF(Q6="","",IF(H6="Effective utilized IT",Q6,IF(L6="","",Q6*L6)))</x:f>
      </x:c>
      <x:c r="S6" s="41" t="str">
        <x:f>IF(OR(P6="",R6="",R6=0),"",P6/R6/1000000)</x:f>
      </x:c>
      <x:c r="T6" s="25" t="str">
        <x:f>IF(S6&lt;&gt;"","Calculated",IF(OR(N6="VENDOR ONLY",N6="CAPEX ONLY"),"Not an operator output","Missing numerator or denominator"))</x:f>
        <x:v>Missing numerator or denominator</x:v>
      </x:c>
    </x:row>
    <x:row r="7">
      <x:c r="A7" s="19" t="str">
        <x:v>Alphabet Google Cloud</x:v>
      </x:c>
      <x:c r="B7" s="19" t="str">
        <x:v>SEGMENT-GCP</x:v>
      </x:c>
      <x:c r="C7" s="19" t="str">
        <x:v>Q2 2026</x:v>
      </x:c>
      <x:c r="D7" s="27" t="n">
        <x:v>24768000000</x:v>
      </x:c>
      <x:c r="E7" s="29" t="n">
        <x:v>4</x:v>
      </x:c>
      <x:c r="F7" s="31"/>
      <x:c r="G7" s="33"/>
      <x:c r="H7" s="23"/>
      <x:c r="I7" s="35"/>
      <x:c r="J7" s="35"/>
      <x:c r="K7" s="35"/>
      <x:c r="L7" s="35"/>
      <x:c r="M7" s="19" t="str">
        <x:v>SRC-GOOG-10Q-Q2FY26</x:v>
      </x:c>
      <x:c r="N7" s="19" t="str">
        <x:v>PARTIAL</x:v>
      </x:c>
      <x:c r="O7" s="43" t="str">
        <x:v>Google Cloud includes GCP, Workspace, security/data services and newly recognized TPU system sales. External AI-compute attribution, period-average active external AI IT MW, physical utilization and matched GCP-only PUE remain missing. Fleet TTM PUE 1.09 is a proxy only.</x:v>
      </x:c>
      <x:c r="P7" s="37" t="str">
        <x:f>IF(OR(D7="",E7="",F7=""),"",D7*E7*F7)</x:f>
      </x:c>
      <x:c r="Q7" s="39" t="str">
        <x:f>IF(G7="","",IF(H7="IT load",G7,IF(H7="Facility power",IF(I7="","",G7/I7),IF(H7="Generation",IF(OR(I7="",J7="",K7=""),"",G7*J7*K7/I7),IF(H7="Effective utilized IT",G7,"")))))</x:f>
      </x:c>
      <x:c r="R7" s="39" t="str">
        <x:f>IF(Q7="","",IF(H7="Effective utilized IT",Q7,IF(L7="","",Q7*L7)))</x:f>
      </x:c>
      <x:c r="S7" s="41" t="str">
        <x:f>IF(OR(P7="",R7="",R7=0),"",P7/R7/1000000)</x:f>
      </x:c>
      <x:c r="T7" s="25" t="str">
        <x:f>IF(S7&lt;&gt;"","Calculated",IF(OR(N7="VENDOR ONLY",N7="CAPEX ONLY"),"Not an operator output","Missing numerator or denominator"))</x:f>
        <x:v>Missing numerator or denominator</x:v>
      </x:c>
    </x:row>
    <x:row r="8">
      <x:c r="A8" s="19" t="str">
        <x:v>Meta</x:v>
      </x:c>
      <x:c r="B8" s="19" t="str">
        <x:v>INTERNAL-META</x:v>
      </x:c>
      <x:c r="C8" s="19" t="str">
        <x:v>Q2 2026</x:v>
      </x:c>
      <x:c r="D8" s="27" t="n">
        <x:v>60801000000</x:v>
      </x:c>
      <x:c r="E8" s="29" t="n">
        <x:v>4</x:v>
      </x:c>
      <x:c r="F8" s="31"/>
      <x:c r="G8" s="33"/>
      <x:c r="H8" s="23"/>
      <x:c r="I8" s="35"/>
      <x:c r="J8" s="35"/>
      <x:c r="K8" s="35"/>
      <x:c r="L8" s="35"/>
      <x:c r="M8" s="19" t="str">
        <x:v>SRC-META-10Q-Q2FY26</x:v>
      </x:c>
      <x:c r="N8" s="19" t="str">
        <x:v>PARTIAL</x:v>
      </x:c>
      <x:c r="O8" s="43" t="str">
        <x:v>Total revenue is a diagnostic only and excluded from the numerator. Incremental AI-attributed value, recognized external Meta Compute revenue, period-average active AI IT MW, physical utilization and matched AI PUE are missing. FY2024 fleet PUE 1.08 is historical context only.</x:v>
      </x:c>
      <x:c r="P8" s="37" t="str">
        <x:f>IF(OR(D8="",E8="",F8=""),"",D8*E8*F8)</x:f>
      </x:c>
      <x:c r="Q8" s="39" t="str">
        <x:f>IF(G8="","",IF(H8="IT load",G8,IF(H8="Facility power",IF(I8="","",G8/I8),IF(H8="Generation",IF(OR(I8="",J8="",K8=""),"",G8*J8*K8/I8),IF(H8="Effective utilized IT",G8,"")))))</x:f>
      </x:c>
      <x:c r="R8" s="39" t="str">
        <x:f>IF(Q8="","",IF(H8="Effective utilized IT",Q8,IF(L8="","",Q8*L8)))</x:f>
      </x:c>
      <x:c r="S8" s="41" t="str">
        <x:f>IF(OR(P8="",R8="",R8=0),"",P8/R8/1000000)</x:f>
      </x:c>
      <x:c r="T8" s="25" t="str">
        <x:f>IF(S8&lt;&gt;"","Calculated",IF(OR(N8="VENDOR ONLY",N8="CAPEX ONLY"),"Not an operator output","Missing numerator or denominator"))</x:f>
        <x:v>Missing numerator or denominator</x:v>
      </x:c>
    </x:row>
    <x:row r="9">
      <x:c r="A9" s="19" t="str">
        <x:v>Oracle OCI</x:v>
      </x:c>
      <x:c r="B9" s="19" t="str">
        <x:v>SEGMENT-OCI</x:v>
      </x:c>
      <x:c r="C9" s="19" t="str">
        <x:v>Q1 FY2027</x:v>
      </x:c>
      <x:c r="D9" s="27" t="n">
        <x:v>6500000000</x:v>
      </x:c>
      <x:c r="E9" s="29" t="n">
        <x:v>4</x:v>
      </x:c>
      <x:c r="F9" s="31"/>
      <x:c r="G9" s="33"/>
      <x:c r="H9" s="23"/>
      <x:c r="I9" s="35"/>
      <x:c r="J9" s="35"/>
      <x:c r="K9" s="35"/>
      <x:c r="L9" s="35"/>
      <x:c r="M9" s="19" t="str">
        <x:v>SRC-ORCL-Q1FY27-DECK</x:v>
      </x:c>
      <x:c r="N9" s="19" t="str">
        <x:v>PARTIAL</x:v>
      </x:c>
      <x:c r="O9" s="43" t="str">
        <x:v>Rounded CPU/GPU revenue excludes database; AI share, hardware adjustment, average active IT MW and physical utilization missing. 97.9% issuer utilization undefined; 850MW additions excluded; matched PUE undisclosed.</x:v>
      </x:c>
      <x:c r="P9" s="37" t="str">
        <x:f>IF(OR(D9="",E9="",F9=""),"",D9*E9*F9)</x:f>
      </x:c>
      <x:c r="Q9" s="39" t="str">
        <x:f>IF(G9="","",IF(H9="IT load",G9,IF(H9="Facility power",IF(I9="","",G9/I9),IF(H9="Generation",IF(OR(I9="",J9="",K9=""),"",G9*J9*K9/I9),IF(H9="Effective utilized IT",G9,"")))))</x:f>
      </x:c>
      <x:c r="R9" s="39" t="str">
        <x:f>IF(Q9="","",IF(H9="Effective utilized IT",Q9,IF(L9="","",Q9*L9)))</x:f>
      </x:c>
      <x:c r="S9" s="41" t="str">
        <x:f>IF(OR(P9="",R9="",R9=0),"",P9/R9/1000000)</x:f>
      </x:c>
      <x:c r="T9" s="25" t="str">
        <x:f>IF(S9&lt;&gt;"","Calculated",IF(OR(N9="VENDOR ONLY",N9="CAPEX ONLY"),"Not an operator output","Missing numerator or denominator"))</x:f>
        <x:v>Missing numerator or denominator</x:v>
      </x:c>
    </x:row>
    <x:row r="10">
      <x:c r="A10" s="19" t="str">
        <x:v>CoreWeave</x:v>
      </x:c>
      <x:c r="B10" s="19" t="str">
        <x:v>MERCHANT-CRWV</x:v>
      </x:c>
      <x:c r="C10" s="19" t="str">
        <x:v>Q2 2026</x:v>
      </x:c>
      <x:c r="D10" s="27" t="n">
        <x:v>2575000000</x:v>
      </x:c>
      <x:c r="E10" s="29" t="n">
        <x:v>4</x:v>
      </x:c>
      <x:c r="F10" s="31"/>
      <x:c r="G10" s="33"/>
      <x:c r="H10" s="23" t="str">
        <x:v>Not disclosed</x:v>
      </x:c>
      <x:c r="I10" s="35"/>
      <x:c r="J10" s="35"/>
      <x:c r="K10" s="35"/>
      <x:c r="L10" s="35"/>
      <x:c r="M10" s="19" t="str">
        <x:v>SRC-CRWV-Q2FY26-ER</x:v>
      </x:c>
      <x:c r="N10" s="19" t="str">
        <x:v>PARTIAL</x:v>
      </x:c>
      <x:c r="O10" s="43" t="str">
        <x:v>All-cloud recognized revenue ceiling; June-heavy activation invalidates midpoint selection. Compute mix, dated IT-MW, power boundary, matched PUE and physical utilization remain missing. Recent ~$40M/MW-year short-contract rate is separate.</x:v>
      </x:c>
      <x:c r="P10" s="37" t="str">
        <x:f>IF(OR(D10="",E10="",F10=""),"",D10*E10*F10)</x:f>
      </x:c>
      <x:c r="Q10" s="39" t="str">
        <x:f>IF(G10="","",IF(H10="IT load",G10,IF(H10="Facility power",IF(I10="","",G10/I10),IF(H10="Generation",IF(OR(I10="",J10="",K10=""),"",G10*J10*K10/I10),IF(H10="Effective utilized IT",G10,"")))))</x:f>
      </x:c>
      <x:c r="R10" s="39" t="str">
        <x:f>IF(Q10="","",IF(H10="Effective utilized IT",Q10,IF(L10="","",Q10*L10)))</x:f>
      </x:c>
      <x:c r="S10" s="41" t="str">
        <x:f>IF(OR(P10="",R10="",R10=0),"",P10/R10/1000000)</x:f>
      </x:c>
      <x:c r="T10" s="25" t="str">
        <x:f>IF(S10&lt;&gt;"","Calculated",IF(OR(N10="VENDOR ONLY",N10="CAPEX ONLY"),"Not an operator output","Missing numerator or denominator"))</x:f>
        <x:v>Missing numerator or denominator</x:v>
      </x:c>
    </x:row>
    <x:row r="11">
      <x:c r="A11" s="19" t="str">
        <x:v>Nebius</x:v>
      </x:c>
      <x:c r="B11" s="19" t="str">
        <x:v>MERCHANT-NBIS</x:v>
      </x:c>
      <x:c r="C11" s="19" t="str">
        <x:v>Q2 2026</x:v>
      </x:c>
      <x:c r="D11" s="27" t="n">
        <x:v>574900000</x:v>
      </x:c>
      <x:c r="E11" s="29" t="n">
        <x:v>4</x:v>
      </x:c>
      <x:c r="F11" s="31"/>
      <x:c r="G11" s="33"/>
      <x:c r="H11" s="23"/>
      <x:c r="I11" s="35"/>
      <x:c r="J11" s="35"/>
      <x:c r="K11" s="35"/>
      <x:c r="L11" s="35"/>
      <x:c r="M11" s="19" t="str">
        <x:v>SRC-NBIS-Q2FY26-FS</x:v>
      </x:c>
      <x:c r="N11" s="19" t="str">
        <x:v>PARTIAL</x:v>
      </x:c>
      <x:c r="O11" s="43" t="str">
        <x:v>Compute attribution and Q2 active IT MW/utilization open. PUE 1.25 is 2025 only. June $7.8364B not-in-use PP&amp;E includes prepayments; not idle GPU collateral.</x:v>
      </x:c>
      <x:c r="P11" s="37" t="str">
        <x:f>IF(OR(D11="",E11="",F11=""),"",D11*E11*F11)</x:f>
      </x:c>
      <x:c r="Q11" s="39" t="str">
        <x:f>IF(G11="","",IF(H11="IT load",G11,IF(H11="Facility power",IF(I11="","",G11/I11),IF(H11="Generation",IF(OR(I11="",J11="",K11=""),"",G11*J11*K11/I11),IF(H11="Effective utilized IT",G11,"")))))</x:f>
      </x:c>
      <x:c r="R11" s="39" t="str">
        <x:f>IF(Q11="","",IF(H11="Effective utilized IT",Q11,IF(L11="","",Q11*L11)))</x:f>
      </x:c>
      <x:c r="S11" s="41" t="str">
        <x:f>IF(OR(P11="",R11="",R11=0),"",P11/R11/1000000)</x:f>
      </x:c>
      <x:c r="T11" s="25" t="str">
        <x:f>IF(S11&lt;&gt;"","Calculated",IF(OR(N11="VENDOR ONLY",N11="CAPEX ONLY"),"Not an operator output","Missing numerator or denominator"))</x:f>
        <x:v>Missing numerator or denominator</x:v>
      </x:c>
    </x:row>
    <x:row r="12">
      <x:c r="A12" s="19" t="str">
        <x:v>IREN</x:v>
      </x:c>
      <x:c r="B12" s="19" t="str">
        <x:v>MERCHANT-IREN</x:v>
      </x:c>
      <x:c r="C12" s="19" t="str">
        <x:v>Q4 FY2026</x:v>
      </x:c>
      <x:c r="D12" s="27" t="n">
        <x:v>70515000</x:v>
      </x:c>
      <x:c r="E12" s="29" t="n">
        <x:v>4</x:v>
      </x:c>
      <x:c r="F12" s="31"/>
      <x:c r="G12" s="33"/>
      <x:c r="H12" s="23"/>
      <x:c r="I12" s="35"/>
      <x:c r="J12" s="35"/>
      <x:c r="K12" s="35"/>
      <x:c r="L12" s="35"/>
      <x:c r="M12" s="19" t="str">
        <x:v>SRC-IREN-10K-FY26</x:v>
      </x:c>
      <x:c r="N12" s="19" t="str">
        <x:v>PARTIAL</x:v>
      </x:c>
      <x:c r="O12" s="43" t="str">
        <x:v>Q4 AI Cloud bundle $70.515M; compute attribution, average IT MW and utilization missing. PUE 1.1 is site-only. June pledged GPUs $1.487B are not an October idle-chip estimate.</x:v>
      </x:c>
      <x:c r="P12" s="37" t="str">
        <x:f>IF(OR(D12="",E12="",F12=""),"",D12*E12*F12)</x:f>
      </x:c>
      <x:c r="Q12" s="39" t="str">
        <x:f>IF(G12="","",IF(H12="IT load",G12,IF(H12="Facility power",IF(I12="","",G12/I12),IF(H12="Generation",IF(OR(I12="",J12="",K12=""),"",G12*J12*K12/I12),IF(H12="Effective utilized IT",G12,"")))))</x:f>
      </x:c>
      <x:c r="R12" s="39" t="str">
        <x:f>IF(Q12="","",IF(H12="Effective utilized IT",Q12,IF(L12="","",Q12*L12)))</x:f>
      </x:c>
      <x:c r="S12" s="41" t="str">
        <x:f>IF(OR(P12="",R12="",R12=0),"",P12/R12/1000000)</x:f>
      </x:c>
      <x:c r="T12" s="25" t="str">
        <x:f>IF(S12&lt;&gt;"","Calculated",IF(OR(N12="VENDOR ONLY",N12="CAPEX ONLY"),"Not an operator output","Missing numerator or denominator"))</x:f>
        <x:v>Missing numerator or denominator</x:v>
      </x:c>
    </x:row>
    <x:row r="13">
      <x:c r="A13" s="19" t="str">
        <x:v>Nscale / Anthropic</x:v>
      </x:c>
      <x:c r="B13" s="19" t="str">
        <x:v>CONTRACT-NSCALE</x:v>
      </x:c>
      <x:c r="C13" s="19" t="str">
        <x:v>H1 2026 / future tranches</x:v>
      </x:c>
      <x:c r="D13" s="27"/>
      <x:c r="E13" s="29"/>
      <x:c r="F13" s="31"/>
      <x:c r="G13" s="33"/>
      <x:c r="H13" s="23" t="str">
        <x:v>Not disclosed</x:v>
      </x:c>
      <x:c r="I13" s="35"/>
      <x:c r="J13" s="35"/>
      <x:c r="K13" s="35"/>
      <x:c r="L13" s="35"/>
      <x:c r="M13" s="19" t="str">
        <x:v>SRC-NSCALE-S1-20260918</x:v>
      </x:c>
      <x:c r="N13" s="19" t="str">
        <x:v>PARTIAL</x:v>
      </x:c>
      <x:c r="O13" s="43" t="str">
        <x:v>Up to $44.6B future payments. Public Anthropic order redacts capacity/rate/term. H1 $136.7M service+lease is a bundled diagnostic; matched AI revenue, average active IT MW, utilization and PUE missing. Old $16.30M rate is reference only.</x:v>
      </x:c>
      <x:c r="P13" s="37" t="str">
        <x:f>IF(OR(D13="",E13="",F13=""),"",D13*E13*F13)</x:f>
      </x:c>
      <x:c r="Q13" s="39" t="str">
        <x:f>IF(G13="","",IF(H13="IT load",G13,IF(H13="Facility power",IF(I13="","",G13/I13),IF(H13="Generation",IF(OR(I13="",J13="",K13=""),"",G13*J13*K13/I13),IF(H13="Effective utilized IT",G13,"")))))</x:f>
      </x:c>
      <x:c r="R13" s="39" t="str">
        <x:f>IF(Q13="","",IF(H13="Effective utilized IT",Q13,IF(L13="","",Q13*L13)))</x:f>
      </x:c>
      <x:c r="S13" s="41" t="str">
        <x:f>IF(OR(P13="",R13="",R13=0),"",P13/R13/1000000)</x:f>
      </x:c>
      <x:c r="T13" s="25" t="str">
        <x:f>IF(S13&lt;&gt;"","Calculated",IF(OR(N13="VENDOR ONLY",N13="CAPEX ONLY"),"Not an operator output","Missing numerator or denominator"))</x:f>
        <x:v>Missing numerator or denominator</x:v>
      </x:c>
    </x:row>
    <x:row r="14">
      <x:c r="A14" s="19" t="str">
        <x:v>xAI / SpaceX</x:v>
      </x:c>
      <x:c r="B14" s="19" t="str">
        <x:v>PROJECT-XAI</x:v>
      </x:c>
      <x:c r="C14" s="19" t="str">
        <x:v>Q2 2026</x:v>
      </x:c>
      <x:c r="D14" s="27" t="n">
        <x:v>1600000000</x:v>
      </x:c>
      <x:c r="E14" s="29" t="n">
        <x:v>4</x:v>
      </x:c>
      <x:c r="F14" s="31"/>
      <x:c r="G14" s="33" t="n">
        <x:v>1200</x:v>
      </x:c>
      <x:c r="H14" s="23" t="str">
        <x:v>IT load</x:v>
      </x:c>
      <x:c r="I14" s="35"/>
      <x:c r="J14" s="35"/>
      <x:c r="K14" s="35"/>
      <x:c r="L14" s="35"/>
      <x:c r="M14" s="19" t="str">
        <x:v>SRC-SPX-10Q-Q2FY26</x:v>
      </x:c>
      <x:c r="N14" s="19" t="str">
        <x:v>PARTIAL</x:v>
      </x:c>
      <x:c r="O14" s="43" t="str">
        <x:v>Recognized incremental cloud-services revenue; modeled average nameplate draw 1.0-1.4 GW (1.2 base) from Q1/Q2 exits. Diagnostic $4.57-$6.40M per total nameplate MW-year only; external capacity allocation physical utilization and PUE are undisclosed so canonical effective-MW output stays blank.</x:v>
      </x:c>
      <x:c r="P14" s="37" t="str">
        <x:f>IF(OR(D14="",E14="",F14=""),"",D14*E14*F14)</x:f>
      </x:c>
      <x:c r="Q14" s="39" t="n">
        <x:f>IF(G14="","",IF(H14="IT load",G14,IF(H14="Facility power",IF(I14="","",G14/I14),IF(H14="Generation",IF(OR(I14="",J14="",K14=""),"",G14*J14*K14/I14),IF(H14="Effective utilized IT",G14,"")))))</x:f>
        <x:v>1200</x:v>
      </x:c>
      <x:c r="R14" s="39" t="str">
        <x:f>IF(Q14="","",IF(H14="Effective utilized IT",Q14,IF(L14="","",Q14*L14)))</x:f>
      </x:c>
      <x:c r="S14" s="41" t="str">
        <x:f>IF(OR(P14="",R14="",R14=0),"",P14/R14/1000000)</x:f>
      </x:c>
      <x:c r="T14" s="25" t="str">
        <x:f>IF(S14&lt;&gt;"","Calculated",IF(OR(N14="VENDOR ONLY",N14="CAPEX ONLY"),"Not an operator output","Missing numerator or denominator"))</x:f>
        <x:v>Missing numerator or denominator</x:v>
      </x:c>
    </x:row>
    <x:row r="15">
      <x:c r="A15" s="19" t="str">
        <x:v>OpenAI / Stargate</x:v>
      </x:c>
      <x:c r="B15" s="19" t="str">
        <x:v>PROJECT-STARGATE</x:v>
      </x:c>
      <x:c r="C15" s="19" t="str">
        <x:v>Abilene full build / evidence through 2026-10-07</x:v>
      </x:c>
      <x:c r="D15" s="27"/>
      <x:c r="E15" s="29"/>
      <x:c r="F15" s="31"/>
      <x:c r="G15" s="33" t="n">
        <x:v>1200</x:v>
      </x:c>
      <x:c r="H15" s="23" t="str">
        <x:v>Facility power</x:v>
      </x:c>
      <x:c r="I15" s="35" t="n">
        <x:v>1.3</x:v>
      </x:c>
      <x:c r="J15" s="35"/>
      <x:c r="K15" s="35"/>
      <x:c r="L15" s="35" t="n">
        <x:v>0.8</x:v>
      </x:c>
      <x:c r="M15" s="19" t="str">
        <x:v>SRC-CRUSOE-IMPACT-20260528</x:v>
      </x:c>
      <x:c r="N15" s="19" t="str">
        <x:v>PARTIAL</x:v>
      </x:c>
      <x:c r="O15" s="43" t="str">
        <x:v>Full-build design sensitivity only: 1.2GW facility / 1.2-1.4 design PUE = 857-1,000 IT MW. Utilization 80% is an explicit scenario, not measured. Revenue, period-average active IT MW and external allocation remain missing; canonical revenue/effective-MW stays blank.</x:v>
      </x:c>
      <x:c r="P15" s="37" t="str">
        <x:f>IF(OR(D15="",E15="",F15=""),"",D15*E15*F15)</x:f>
      </x:c>
      <x:c r="Q15" s="39" t="n">
        <x:f>IF(G15="","",IF(H15="IT load",G15,IF(H15="Facility power",IF(I15="","",G15/I15),IF(H15="Generation",IF(OR(I15="",J15="",K15=""),"",G15*J15*K15/I15),IF(H15="Effective utilized IT",G15,"")))))</x:f>
        <x:v>923.0769230769231</x:v>
      </x:c>
      <x:c r="R15" s="39" t="n">
        <x:f>IF(Q15="","",IF(H15="Effective utilized IT",Q15,IF(L15="","",Q15*L15)))</x:f>
        <x:v>738.4615384615386</x:v>
      </x:c>
      <x:c r="S15" s="41" t="str">
        <x:f>IF(OR(P15="",R15="",R15=0),"",P15/R15/1000000)</x:f>
      </x:c>
      <x:c r="T15" s="25" t="str">
        <x:f>IF(S15&lt;&gt;"","Calculated",IF(OR(N15="VENDOR ONLY",N15="CAPEX ONLY"),"Not an operator output","Missing numerator or denominator"))</x:f>
        <x:v>Missing numerator or denominator</x:v>
      </x:c>
    </x:row>
    <x:row r="16">
      <x:c r="A16" s="19" t="str">
        <x:v>NVIDIA</x:v>
      </x:c>
      <x:c r="B16" s="19" t="str">
        <x:v>VENDOR-NVDA</x:v>
      </x:c>
      <x:c r="C16" s="19" t="str">
        <x:v>Generation guidance 2026-08-26; review 2026-10-08</x:v>
      </x:c>
      <x:c r="D16" s="27"/>
      <x:c r="E16" s="29"/>
      <x:c r="F16" s="31"/>
      <x:c r="G16" s="33"/>
      <x:c r="H16" s="23" t="str">
        <x:v>not_applicable</x:v>
      </x:c>
      <x:c r="I16" s="35"/>
      <x:c r="J16" s="35"/>
      <x:c r="K16" s="35"/>
      <x:c r="L16" s="35"/>
      <x:c r="M16" s="19" t="str">
        <x:v>SRC-NVDA-Q2FY27-001</x:v>
      </x:c>
      <x:c r="N16" s="19" t="str">
        <x:v>VENDOR ONLY</x:v>
      </x:c>
      <x:c r="O16" s="43" t="str">
        <x:v>Supplier PUE not_applicable; 18/25/40B per stated GW opportunities are not verified IT-GW or annual operator revenue; PORTS guarantee density separate</x:v>
      </x:c>
      <x:c r="P16" s="37" t="str">
        <x:f>IF(OR(D16="",E16="",F16=""),"",D16*E16*F16)</x:f>
      </x:c>
      <x:c r="Q16" s="39" t="str">
        <x:f>IF(G16="","",IF(H16="IT load",G16,IF(H16="Facility power",IF(I16="","",G16/I16),IF(H16="Generation",IF(OR(I16="",J16="",K16=""),"",G16*J16*K16/I16),IF(H16="Effective utilized IT",G16,"")))))</x:f>
      </x:c>
      <x:c r="R16" s="39" t="str">
        <x:f>IF(Q16="","",IF(H16="Effective utilized IT",Q16,IF(L16="","",Q16*L16)))</x:f>
      </x:c>
      <x:c r="S16" s="41" t="str">
        <x:f>IF(OR(P16="",R16="",R16=0),"",P16/R16/1000000)</x:f>
      </x:c>
      <x:c r="T16" s="25" t="str">
        <x:f>IF(S16&lt;&gt;"","Calculated",IF(OR(N16="VENDOR ONLY",N16="CAPEX ONLY"),"Not an operator output","Missing numerator or denominator"))</x:f>
        <x:v>Not an operator output</x:v>
      </x:c>
    </x:row>
    <x:row r="17">
      <x:c r="A17" s="19" t="str">
        <x:v>Broadcom</x:v>
      </x:c>
      <x:c r="B17" s="19" t="str">
        <x:v>VENDOR-AVGO</x:v>
      </x:c>
      <x:c r="C17" s="19" t="str">
        <x:v>Q3 FY2026</x:v>
      </x:c>
      <x:c r="D17" s="27" t="n">
        <x:v>16700000000</x:v>
      </x:c>
      <x:c r="E17" s="29"/>
      <x:c r="F17" s="31" t="n">
        <x:v>1</x:v>
      </x:c>
      <x:c r="G17" s="33"/>
      <x:c r="H17" s="23"/>
      <x:c r="I17" s="35"/>
      <x:c r="J17" s="35"/>
      <x:c r="K17" s="35"/>
      <x:c r="L17" s="35"/>
      <x:c r="M17" s="19" t="str">
        <x:v>SRC-AVGO-EARNINGS-Q3FY26</x:v>
      </x:c>
      <x:c r="N17" s="19" t="str">
        <x:v>VENDOR ONLY</x:v>
      </x:c>
      <x:c r="O17" s="43" t="str">
        <x:v>Reported AI semiconductor revenue combines custom accelerators and networking. Matched period-average deployed IT-load GW, delivery cohort, architecture split and physical utilization are not disclosed; supplier PUE is not applicable.</x:v>
      </x:c>
      <x:c r="P17" s="37" t="str">
        <x:f>IF(OR(D17="",E17="",F17=""),"",D17*E17*F17)</x:f>
      </x:c>
      <x:c r="Q17" s="39" t="str">
        <x:f>IF(G17="","",IF(H17="IT load",G17,IF(H17="Facility power",IF(I17="","",G17/I17),IF(H17="Generation",IF(OR(I17="",J17="",K17=""),"",G17*J17*K17/I17),IF(H17="Effective utilized IT",G17,"")))))</x:f>
      </x:c>
      <x:c r="R17" s="39" t="str">
        <x:f>IF(Q17="","",IF(H17="Effective utilized IT",Q17,IF(L17="","",Q17*L17)))</x:f>
      </x:c>
      <x:c r="S17" s="41" t="str">
        <x:f>IF(OR(P17="",R17="",R17=0),"",P17/R17/1000000)</x:f>
      </x:c>
      <x:c r="T17" s="25" t="str">
        <x:f>IF(S17&lt;&gt;"","Calculated",IF(OR(N17="VENDOR ONLY",N17="CAPEX ONLY"),"Not an operator output","Missing numerator or denominator"))</x:f>
        <x:v>Not an operator output</x:v>
      </x:c>
    </x:row>
    <x:row r="18">
      <x:c r="A18" s="19" t="str">
        <x:v>Bloom Energy</x:v>
      </x:c>
      <x:c r="B18" s="19" t="str">
        <x:v>SUPPLIER-BLOOM</x:v>
      </x:c>
      <x:c r="C18" s="19" t="str">
        <x:v>Nebius Capacity Agreement / review 2026-10-10</x:v>
      </x:c>
      <x:c r="D18" s="27"/>
      <x:c r="E18" s="29"/>
      <x:c r="F18" s="31"/>
      <x:c r="G18" s="33" t="n">
        <x:v>250</x:v>
      </x:c>
      <x:c r="H18" s="23" t="str">
        <x:v>Guaranteed generation</x:v>
      </x:c>
      <x:c r="I18" s="35"/>
      <x:c r="J18" s="35"/>
      <x:c r="K18" s="35"/>
      <x:c r="L18" s="35"/>
      <x:c r="M18" s="19" t="str">
        <x:v>SRC-NBIS-BE-CAPACITY-20260520</x:v>
      </x:c>
      <x:c r="N18" s="19" t="str">
        <x:v>VENDOR ONLY</x:v>
      </x:c>
      <x:c r="O18" s="43" t="str">
        <x:v>Upper bound $1.04M per guaranteed generation MW-year and $0.793M per installed generation MW-year over disclosed 10-year terms. This is supplier capacity-service economics, not recognized revenue per IT MW. Supplier PUE not_applicable; customer PUE, IT load, utilization, phase timing and fuel/pass-through terms are not disclosed.</x:v>
      </x:c>
      <x:c r="P18" s="37" t="str">
        <x:f>IF(OR(D18="",E18="",F18=""),"",D18*E18*F18)</x:f>
      </x:c>
      <x:c r="Q18" s="39" t="str">
        <x:f>IF(G18="","",IF(H18="IT load",G18,IF(H18="Facility power",IF(I18="","",G18/I18),IF(H18="Generation",IF(OR(I18="",J18="",K18=""),"",G18*J18*K18/I18),IF(H18="Effective utilized IT",G18,"")))))</x:f>
      </x:c>
      <x:c r="R18" s="39" t="str">
        <x:f>IF(Q18="","",IF(H18="Effective utilized IT",Q18,IF(L18="","",Q18*L18)))</x:f>
      </x:c>
      <x:c r="S18" s="41" t="str">
        <x:f>IF(OR(P18="",R18="",R18=0),"",P18/R18/1000000)</x:f>
      </x:c>
      <x:c r="T18" s="25" t="str">
        <x:f>IF(S18&lt;&gt;"","Calculated",IF(OR(N18="VENDOR ONLY",N18="CAPEX ONLY"),"Not an operator output","Missing numerator or denominator"))</x:f>
        <x:v>Not an operator output</x:v>
      </x:c>
    </x:row>
    <x:row r="19">
      <x:c r="A19" s="20" t="str">
        <x:v>Palantir</x:v>
      </x:c>
      <x:c r="B19" s="20" t="str">
        <x:v>SOFTWARE-PLTR</x:v>
      </x:c>
      <x:c r="C19" s="20" t="str">
        <x:v>Q2 2026; reviewed 2026-10-11</x:v>
      </x:c>
      <x:c r="D19" s="28"/>
      <x:c r="E19" s="30"/>
      <x:c r="F19" s="32"/>
      <x:c r="G19" s="34"/>
      <x:c r="H19" s="24"/>
      <x:c r="I19" s="36"/>
      <x:c r="J19" s="36"/>
      <x:c r="K19" s="36"/>
      <x:c r="L19" s="36"/>
      <x:c r="M19" s="20" t="str">
        <x:v>SRC-PLTR-10Q-Q2FY26</x:v>
      </x:c>
      <x:c r="N19" s="20" t="str">
        <x:v>VENDOR ONLY</x:v>
      </x:c>
      <x:c r="O19" s="44" t="str">
        <x:v>Partial software review. AI revenue and active customer IT MW/utilization missing. Supplier PUE not applicable. $5.6B cloud minimum through Feb 2036 is spend, not MW or revenue.</x:v>
      </x:c>
      <x:c r="P19" s="38" t="str">
        <x:f>IF(OR(D19="",E19="",F19=""),"",D19*E19*F19)</x:f>
      </x:c>
      <x:c r="Q19" s="40" t="str">
        <x:f>IF(G19="","",IF(H19="IT load",G19,IF(H19="Facility power",IF(I19="","",G19/I19),IF(H19="Generation",IF(OR(I19="",J19="",K19=""),"",G19*J19*K19/I19),IF(H19="Effective utilized IT",G19,"")))))</x:f>
      </x:c>
      <x:c r="R19" s="40" t="str">
        <x:f>IF(Q19="","",IF(H19="Effective utilized IT",Q19,IF(L19="","",Q19*L19)))</x:f>
      </x:c>
      <x:c r="S19" s="42" t="str">
        <x:f>IF(OR(P19="",R19="",R19=0),"",P19/R19/1000000)</x:f>
      </x:c>
      <x:c r="T19" s="26" t="str">
        <x:f>IF(S19&lt;&gt;"","Calculated",IF(OR(N19="VENDOR ONLY",N19="CAPEX ONLY"),"Not an operator output","Missing numerator or denominator"))</x:f>
        <x:v>Not an operator output</x:v>
      </x:c>
    </x:row>
  </x:sheetData>
  <x:conditionalFormatting sqref="T5:T19">
    <x:cfRule type="containsText" dxfId="0" priority="1" operator="containsText" text="Missing"/>
    <x:cfRule type="containsText" dxfId="1" priority="2" operator="containsText" text="Calcula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8D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42" hidden="0" customWidth="1"/>
    <x:col min="5" max="5" width="38" hidden="0" customWidth="1"/>
    <x:col min="6" max="6" width="48" hidden="0" customWidth="1"/>
    <x:col min="7" max="7" width="24" hidden="0" customWidth="1"/>
  </x:cols>
  <x:sheetData>
    <x:row r="2">
      <x:c r="A2" s="2" t="str">
        <x:v>Company method registry</x:v>
      </x:c>
      <x:c r="B2" s="1"/>
      <x:c r="C2" s="1"/>
      <x:c r="D2" s="1"/>
      <x:c r="E2" s="1"/>
      <x:c r="F2" s="1"/>
      <x:c r="G2" s="1"/>
    </x:row>
    <x:row r="3">
      <x:c r="A3" s="3" t="str">
        <x:v>The normalized output is shared; each company's numerator and denominator logic remains explicit.</x:v>
      </x:c>
      <x:c r="B3" s="3"/>
      <x:c r="C3" s="3"/>
      <x:c r="D3" s="3"/>
      <x:c r="E3" s="3"/>
      <x:c r="F3" s="3"/>
      <x:c r="G3" s="3"/>
    </x:row>
    <x:row r="4" ht="32" customHeight="1">
      <x:c r="A4" s="15" t="str">
        <x:v>Method ID</x:v>
      </x:c>
      <x:c r="B4" s="16" t="str">
        <x:v>Company</x:v>
      </x:c>
      <x:c r="C4" s="16" t="str">
        <x:v>Role</x:v>
      </x:c>
      <x:c r="D4" s="16" t="str">
        <x:v>Numerator</x:v>
      </x:c>
      <x:c r="E4" s="16" t="str">
        <x:v>Denominator</x:v>
      </x:c>
      <x:c r="F4" s="16" t="str">
        <x:v>Unique adjustment</x:v>
      </x:c>
      <x:c r="G4" s="17" t="str">
        <x:v>Status</x:v>
      </x:c>
    </x:row>
    <x:row r="5">
      <x:c r="A5" s="19" t="str">
        <x:v>SEGMENT-AZURE</x:v>
      </x:c>
      <x:c r="B5" s="19" t="str">
        <x:v>Microsoft Azure</x:v>
      </x:c>
      <x:c r="C5" s="43" t="str">
        <x:v>Hyperscaler</x:v>
      </x:c>
      <x:c r="D5" s="43" t="str">
        <x:v>Annualized restated Azure revenue attributable to external AI compute</x:v>
      </x:c>
      <x:c r="E5" s="43" t="str">
        <x:v>Time-weighted average active Azure AI IT MW times physical utilization</x:v>
      </x:c>
      <x:c r="F5" s="43" t="str">
        <x:v>Use September 2026 restated Azure perimeter; remove virtual desktop and non-AI consumption; include owned, leased, colocated and purchased capacity; never use quarterly added MW or PPA generation</x:v>
      </x:c>
      <x:c r="G5" s="43" t="str">
        <x:v>Partial 2026-09-17; exact Azure revenue established; AI attribution and effective-MW denominator open</x:v>
      </x:c>
    </x:row>
    <x:row r="6">
      <x:c r="A6" s="19" t="str">
        <x:v>SEGMENT-AWS</x:v>
      </x:c>
      <x:c r="B6" s="19" t="str">
        <x:v>Amazon AWS</x:v>
      </x:c>
      <x:c r="C6" s="43" t="str">
        <x:v>Hyperscaler</x:v>
      </x:c>
      <x:c r="D6" s="43" t="str">
        <x:v>Annualized recognized external AWS AI compute revenue</x:v>
      </x:c>
      <x:c r="E6" s="43" t="str">
        <x:v>Time-weighted active AI IT MW times physical utilization</x:v>
      </x:c>
      <x:c r="F6" s="43" t="str">
        <x:v>Separate Trainium Inferentia and NVIDIA; exclude internal/noncompute revenue and run-rate overlap; PUE only for matched facility-power conversion</x:v>
      </x:c>
      <x:c r="G6" s="43" t="str">
        <x:v>Partial 2026-09-19; matched numerator and denominator open</x:v>
      </x:c>
    </x:row>
    <x:row r="7">
      <x:c r="A7" s="19" t="str">
        <x:v>SEGMENT-GCP</x:v>
      </x:c>
      <x:c r="B7" s="19" t="str">
        <x:v>Alphabet Google Cloud</x:v>
      </x:c>
      <x:c r="C7" s="43" t="str">
        <x:v>Hyperscaler</x:v>
      </x:c>
      <x:c r="D7" s="43" t="str">
        <x:v>Annualized recognized external GCP AI compute service revenue</x:v>
      </x:c>
      <x:c r="E7" s="43" t="str">
        <x:v>Time-weighted active external GCP AI IT MW times physical utilization</x:v>
      </x:c>
      <x:c r="F7" s="43" t="str">
        <x:v>Exclude Workspace, security/data/non-AI services, internal Search/YouTube/Gemini, TPU system sales and backlog; separate TPU/GPU/third-party capacity cohorts; PUE only for matched facility-power conversion</x:v>
      </x:c>
      <x:c r="G7" s="43" t="str">
        <x:v>Partial 2026-09-20; exact Cloud revenue and fleet PUE established; AI attribution and effective-MW denominator open</x:v>
      </x:c>
    </x:row>
    <x:row r="8">
      <x:c r="A8" s="19" t="str">
        <x:v>INTERNAL-META</x:v>
      </x:c>
      <x:c r="B8" s="19" t="str">
        <x:v>Meta</x:v>
      </x:c>
      <x:c r="C8" s="43" t="str">
        <x:v>Internal compute</x:v>
      </x:c>
      <x:c r="D8" s="43" t="str">
        <x:v>Annualized incremental recognized internal AI value plus recognized external Meta Compute revenue</x:v>
      </x:c>
      <x:c r="E8" s="43" t="str">
        <x:v>Time-weighted average active Meta AI IT MW times physical utilization</x:v>
      </x:c>
      <x:c r="F8" s="43" t="str">
        <x:v>Never use total company or advertising revenue; keep internal and external cases separate; use matched PUE only for facility-to-IT conversion</x:v>
      </x:c>
      <x:c r="G8" s="43" t="str">
        <x:v>Partial 2026-10-04; AI attribution active IT MW utilization and matched PUE open</x:v>
      </x:c>
    </x:row>
    <x:row r="9">
      <x:c r="A9" s="19" t="str">
        <x:v>SEGMENT-OCI</x:v>
      </x:c>
      <x:c r="B9" s="19" t="str">
        <x:v>Oracle OCI</x:v>
      </x:c>
      <x:c r="C9" s="43" t="str">
        <x:v>Hyperscaler</x:v>
      </x:c>
      <x:c r="D9" s="43" t="str">
        <x:v>Annualized AI-attributable CPU/GPU revenue less hardware pass-through</x:v>
      </x:c>
      <x:c r="E9" s="43" t="str">
        <x:v>Time-weighted active AI IT MW times matching physical utilization</x:v>
      </x:c>
      <x:c r="F9" s="43" t="str">
        <x:v>Exclude database, RPO, prepayment cash and undefined utilization; require dated active AI IT capacity</x:v>
      </x:c>
      <x:c r="G9" s="43" t="str">
        <x:v>Partial 2026-10-12; AI attribution, active IT MW, physical utilization and matched PUE open</x:v>
      </x:c>
    </x:row>
    <x:row r="10">
      <x:c r="A10" s="19" t="str">
        <x:v>MERCHANT-CRWV</x:v>
      </x:c>
      <x:c r="B10" s="19" t="str">
        <x:v>CoreWeave</x:v>
      </x:c>
      <x:c r="C10" s="43" t="str">
        <x:v>Neocloud</x:v>
      </x:c>
      <x:c r="D10" s="43" t="str">
        <x:v>Annualized external AI compute recognized revenue</x:v>
      </x:c>
      <x:c r="E10" s="43" t="str">
        <x:v>Time-weighted active AI IT MW times physical utilization</x:v>
      </x:c>
      <x:c r="F10" s="43" t="str">
        <x:v>Remove storage networking and software; keep ~$40M/MW-year recent 3-6 month signed-contract rate separate from recognized revenue; no generic PUE or utilization</x:v>
      </x:c>
      <x:c r="G10" s="43" t="str">
        <x:v>Partial 2026-10-13; canonical output open</x:v>
      </x:c>
    </x:row>
    <x:row r="11">
      <x:c r="A11" s="19" t="str">
        <x:v>MERCHANT-NBIS</x:v>
      </x:c>
      <x:c r="B11" s="19" t="str">
        <x:v>Nebius</x:v>
      </x:c>
      <x:c r="C11" s="43" t="str">
        <x:v>Neocloud</x:v>
      </x:c>
      <x:c r="D11" s="43" t="str">
        <x:v>Annualized external compute-only revenue</x:v>
      </x:c>
      <x:c r="E11" s="43" t="str">
        <x:v>Time-weighted effective IT MW</x:v>
      </x:c>
      <x:c r="F11" s="43" t="str">
        <x:v>Exclude internal/noncompute; no exit MW; historical PUE not current</x:v>
      </x:c>
      <x:c r="G11" s="43" t="str">
        <x:v>Partial; numerator and denominator open</x:v>
      </x:c>
    </x:row>
    <x:row r="12">
      <x:c r="A12" s="19" t="str">
        <x:v>MERCHANT-IREN</x:v>
      </x:c>
      <x:c r="B12" s="19" t="str">
        <x:v>IREN</x:v>
      </x:c>
      <x:c r="C12" s="43" t="str">
        <x:v>Neocloud</x:v>
      </x:c>
      <x:c r="D12" s="43" t="str">
        <x:v>Annualized external compute after AI Cloud bundle attribution</x:v>
      </x:c>
      <x:c r="E12" s="43" t="str">
        <x:v>Time-weighted active AI IT MW times physical utilization</x:v>
      </x:c>
      <x:c r="F12" s="43" t="str">
        <x:v>Exclude mining and noncompute ancillaries; acceptance differs from utilization</x:v>
      </x:c>
      <x:c r="G12" s="43" t="str">
        <x:v>Compute attribution and matched active IT MW utilization PUE open</x:v>
      </x:c>
    </x:row>
    <x:row r="13">
      <x:c r="A13" s="19" t="str">
        <x:v>CONTRACT-NSCALE</x:v>
      </x:c>
      <x:c r="B13" s="19" t="str">
        <x:v>Nscale / Anthropic</x:v>
      </x:c>
      <x:c r="C13" s="43" t="str">
        <x:v>Contracted compute</x:v>
      </x:c>
      <x:c r="D13" s="43" t="str">
        <x:v>Recognized attributable compute revenue</x:v>
      </x:c>
      <x:c r="E13" s="43" t="str">
        <x:v>Period-average effective utilized IT MW</x:v>
      </x:c>
      <x:c r="F13" s="43" t="str">
        <x:v>Keep future contract rate separate; acceptance and financing gates</x:v>
      </x:c>
      <x:c r="G13" s="43" t="str">
        <x:v>Partial; public terms redacted</x:v>
      </x:c>
    </x:row>
    <x:row r="14">
      <x:c r="A14" s="19" t="str">
        <x:v>PROJECT-XAI</x:v>
      </x:c>
      <x:c r="B14" s="19" t="str">
        <x:v>xAI / SpaceX</x:v>
      </x:c>
      <x:c r="C14" s="43" t="str">
        <x:v>Operator segment</x:v>
      </x:c>
      <x:c r="D14" s="43" t="str">
        <x:v>Annualized recognized external cloud-services revenue</x:v>
      </x:c>
      <x:c r="E14" s="43" t="str">
        <x:v>Time-weighted external allocated IT MW times physical utilization</x:v>
      </x:c>
      <x:c r="F14" s="43" t="str">
        <x:v>Use reported nameplate compute draw only as an IT-load exit metric; exclude internal Grok and non-cloud AI revenue; keep PUE, guidance, contracted sales, realized revenue, and secondary deal-level $/MW estimates separate; preserve GPU generation, tenor, termination rights, service bundle and power boundary</x:v>
      </x:c>
      <x:c r="G14" s="43" t="str">
        <x:v>Partial 2026-10-10; Q2 recognized-revenue model unchanged; secondary SpaceX deal/generation curve added; external allocation, utilization and PUE remain open</x:v>
      </x:c>
    </x:row>
    <x:row r="15">
      <x:c r="A15" s="19" t="str">
        <x:v>PROJECT-STARGATE</x:v>
      </x:c>
      <x:c r="B15" s="19" t="str">
        <x:v>OpenAI / Stargate</x:v>
      </x:c>
      <x:c r="C15" s="43" t="str">
        <x:v>Reference project</x:v>
      </x:c>
      <x:c r="D15" s="43" t="str">
        <x:v>Annualized site-attributable recognized or contracted compute revenue</x:v>
      </x:c>
      <x:c r="E15" s="43" t="str">
        <x:v>Time-weighted active IT MW times physical utilization</x:v>
      </x:c>
      <x:c r="F15" s="43" t="str">
        <x:v>Keep secured/exit MW, financing, RPO, prepayments, internal workloads and pass-through hardware separate; report project-capital sensitivities only when revenue is unavailable</x:v>
      </x:c>
      <x:c r="G15" s="43" t="str">
        <x:v>Partial 2026-10-07; Abilene primary capital/PUE sensitivity established; revenue and effective-MW denominator open</x:v>
      </x:c>
    </x:row>
    <x:row r="16">
      <x:c r="A16" s="19" t="str">
        <x:v>VENDOR-NVDA</x:v>
      </x:c>
      <x:c r="B16" s="19" t="str">
        <x:v>NVIDIA</x:v>
      </x:c>
      <x:c r="C16" s="43" t="str">
        <x:v>Silicon vendor</x:v>
      </x:c>
      <x:c r="D16" s="43" t="str">
        <x:v>Accelerator networking and systems content</x:v>
      </x:c>
      <x:c r="E16" s="43" t="str">
        <x:v>Verified deployed IT GW; otherwise stated GW separately</x:v>
      </x:c>
      <x:c r="F16" s="43" t="str">
        <x:v>PUE not_applicable; isolate supplier content from recurring revenue and contingent guarantees</x:v>
      </x:c>
      <x:c r="G16" s="43" t="str">
        <x:v>Partial2026-10-08; generation power scope open</x:v>
      </x:c>
    </x:row>
    <x:row r="17">
      <x:c r="A17" s="19" t="str">
        <x:v>VENDOR-AVGO</x:v>
      </x:c>
      <x:c r="B17" s="19" t="str">
        <x:v>Broadcom</x:v>
      </x:c>
      <x:c r="C17" s="43" t="str">
        <x:v>Silicon vendor</x:v>
      </x:c>
      <x:c r="D17" s="43" t="str">
        <x:v>Recognized AI semiconductor revenue for the matched delivery cohort</x:v>
      </x:c>
      <x:c r="E17" s="43" t="str">
        <x:v>Matched deployed IT-load GW for the same cohort</x:v>
      </x:c>
      <x:c r="F17" s="43" t="str">
        <x:v>Separate custom accelerators and networking where disclosed; exclude non-AI semiconductors and pass-through rack content</x:v>
      </x:c>
      <x:c r="G17" s="43" t="str">
        <x:v>Partial 2026-10-09; Q3 AI revenue verified; matched IT-load denominator open</x:v>
      </x:c>
    </x:row>
    <x:row r="18">
      <x:c r="A18" s="19" t="str">
        <x:v>SUPPLIER-BLOOM</x:v>
      </x:c>
      <x:c r="B18" s="19" t="str">
        <x:v>Bloom Energy</x:v>
      </x:c>
      <x:c r="C18" s="43" t="str">
        <x:v>Power supplier</x:v>
      </x:c>
      <x:c r="D18" s="43" t="str">
        <x:v>Aggregate capacity-service fees for the matched service term</x:v>
      </x:c>
      <x:c r="E18" s="43" t="str">
        <x:v>Guaranteed generation MW-service-years</x:v>
      </x:c>
      <x:c r="F18" s="43" t="str">
        <x:v>Use phase-specific guaranteed generation MW and service years; keep recognized product revenue, financing frameworks, fuel pass-through, unexercised master volumes and customer IT economics separate; supplier PUE not_applicable; installed/guaranteed ratio is not PUE or utilization</x:v>
      </x:c>
      <x:c r="G18" s="43" t="str">
        <x:v>Partial 2026-10-10; Nebius upper bound $1.04M per guaranteed generation MW-year; phase activation, fuel terms and realized revenue open</x:v>
      </x:c>
    </x:row>
    <x:row r="19">
      <x:c r="A19" s="20" t="str">
        <x:v>SOFTWARE-PLTR</x:v>
      </x:c>
      <x:c r="B19" s="20" t="str">
        <x:v>Palantir</x:v>
      </x:c>
      <x:c r="C19" s="44" t="str">
        <x:v>Software</x:v>
      </x:c>
      <x:c r="D19" s="44" t="str">
        <x:v>Annualized attributable incremental AI software revenue; exclude compute and hardware pass-through</x:v>
      </x:c>
      <x:c r="E19" s="44" t="str">
        <x:v>Period-average associated active customer IT MW; separately model physical utilization</x:v>
      </x:c>
      <x:c r="F19" s="44" t="str">
        <x:v>Separate hosted and customer-hosted software; exclude R&amp;D and pilot compute; own PUE not applicable; do not convert minimum cloud spend into MW</x:v>
      </x:c>
      <x:c r="G19" s="44" t="str">
        <x:v>Partial 2026-10-11; revenue attribution and active IT-MW cohorts 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161e8ba56d2148e4"/>
  </x:tableParts>
</x:worksheet>
</file>

<file path=xl/worksheets/sheet4.xml><?xml version="1.0" encoding="utf-8"?>
<x:worksheet xmlns:x="http://schemas.openxmlformats.org/spreadsheetml/2006/main">
  <x:sheetPr>
    <x:tabColor rgb="FF2C628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5" hidden="0" customWidth="1"/>
    <x:col min="4" max="4" width="14" hidden="0" customWidth="1"/>
    <x:col min="5" max="5" width="24" hidden="0" customWidth="1"/>
    <x:col min="6" max="6" width="12" hidden="0" customWidth="1"/>
    <x:col min="7" max="7" width="22" hidden="0" customWidth="1"/>
    <x:col min="8" max="8" width="18" hidden="0" customWidth="1"/>
    <x:col min="9" max="9" width="44" hidden="0" customWidth="1"/>
    <x:col min="10" max="10" width="3" hidden="0" customWidth="1"/>
    <x:col min="11" max="11" width="30" hidden="0" customWidth="1"/>
    <x:col min="12" max="12" width="16" hidden="0" customWidth="1"/>
    <x:col min="13" max="13" width="34" hidden="0" customWidth="1"/>
  </x:cols>
  <x:sheetData>
    <x:row r="2">
      <x:c r="A2" s="2" t="str">
        <x:v>Token economics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Dated observations remain platform-specific. The Jevons calculator uses realized price, volume, and spend identities.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15" t="str">
        <x:v>Date</x:v>
      </x:c>
      <x:c r="B4" s="16" t="str">
        <x:v>Dataset</x:v>
      </x:c>
      <x:c r="C4" s="16" t="str">
        <x:v>Metric</x:v>
      </x:c>
      <x:c r="D4" s="16" t="str">
        <x:v>Value</x:v>
      </x:c>
      <x:c r="E4" s="16" t="str">
        <x:v>Unit</x:v>
      </x:c>
      <x:c r="F4" s="16" t="str">
        <x:v>Window</x:v>
      </x:c>
      <x:c r="G4" s="16" t="str">
        <x:v>Source ID</x:v>
      </x:c>
      <x:c r="H4" s="16" t="str">
        <x:v>Evidence state</x:v>
      </x:c>
      <x:c r="I4" s="17" t="str">
        <x:v>Notes</x:v>
      </x:c>
      <x:c r="K4" s="15" t="str">
        <x:v>July 2026 Jevons test</x:v>
      </x:c>
      <x:c r="L4" s="16" t="str">
        <x:v>Value</x:v>
      </x:c>
      <x:c r="M4" s="17" t="str">
        <x:v>Formula / meaning</x:v>
      </x:c>
    </x:row>
    <x:row r="5">
      <x:c r="A5" s="45" t="d">
        <x:v>2026-07-31T00:00:00.000Z</x:v>
      </x:c>
      <x:c r="B5" s="19" t="str">
        <x:v>Vercel</x:v>
      </x:c>
      <x:c r="C5" s="19" t="str">
        <x:v>Token volume growth</x:v>
      </x:c>
      <x:c r="D5" s="47" t="n">
        <x:v>0.59</x:v>
      </x:c>
      <x:c r="E5" s="19" t="str">
        <x:v>percent</x:v>
      </x:c>
      <x:c r="F5" s="19" t="str">
        <x:v>MoM</x:v>
      </x:c>
      <x:c r="G5" s="19" t="str">
        <x:v>SRC-VERCEL-JUL26-001</x:v>
      </x:c>
      <x:c r="H5" s="19" t="str">
        <x:v>Reported</x:v>
      </x:c>
      <x:c r="I5" s="43" t="str">
        <x:v>Production gateway sample</x:v>
      </x:c>
      <x:c r="K5" s="18" t="str">
        <x:v>Realized price decline</x:v>
      </x:c>
      <x:c r="L5" s="53" t="n">
        <x:v>0.136</x:v>
      </x:c>
      <x:c r="M5" s="18" t="str">
        <x:v>Observed</x:v>
      </x:c>
    </x:row>
    <x:row r="6">
      <x:c r="A6" s="45" t="d">
        <x:v>2026-07-31T00:00:00.000Z</x:v>
      </x:c>
      <x:c r="B6" s="19" t="str">
        <x:v>Vercel</x:v>
      </x:c>
      <x:c r="C6" s="19" t="str">
        <x:v>Spend growth</x:v>
      </x:c>
      <x:c r="D6" s="47" t="n">
        <x:v>0.37</x:v>
      </x:c>
      <x:c r="E6" s="19" t="str">
        <x:v>percent</x:v>
      </x:c>
      <x:c r="F6" s="19" t="str">
        <x:v>MoM</x:v>
      </x:c>
      <x:c r="G6" s="19" t="str">
        <x:v>SRC-VERCEL-JUL26-001</x:v>
      </x:c>
      <x:c r="H6" s="19" t="str">
        <x:v>Reported</x:v>
      </x:c>
      <x:c r="I6" s="43" t="str">
        <x:v>Production gateway sample</x:v>
      </x:c>
      <x:c r="K6" s="18" t="str">
        <x:v>Exact volume break-even</x:v>
      </x:c>
      <x:c r="L6" s="53" t="n">
        <x:f>L5/(1-L5)</x:f>
        <x:v>0.1574074074074074</x:v>
      </x:c>
      <x:c r="M6" s="18" t="str">
        <x:v>d / (1 - d)</x:v>
      </x:c>
    </x:row>
    <x:row r="7">
      <x:c r="A7" s="45" t="d">
        <x:v>2026-07-31T00:00:00.000Z</x:v>
      </x:c>
      <x:c r="B7" s="19" t="str">
        <x:v>Vercel</x:v>
      </x:c>
      <x:c r="C7" s="19" t="str">
        <x:v>Realized price per token growth</x:v>
      </x:c>
      <x:c r="D7" s="47" t="n">
        <x:v>-0.136</x:v>
      </x:c>
      <x:c r="E7" s="19" t="str">
        <x:v>percent</x:v>
      </x:c>
      <x:c r="F7" s="19" t="str">
        <x:v>MoM</x:v>
      </x:c>
      <x:c r="G7" s="19" t="str">
        <x:v>SRC-VERCEL-JUL26-001</x:v>
      </x:c>
      <x:c r="H7" s="19" t="str">
        <x:v>Derived from production index</x:v>
      </x:c>
      <x:c r="I7" s="43" t="str">
        <x:v>Routing and mix drove decline</x:v>
      </x:c>
      <x:c r="K7" s="18" t="str">
        <x:v>Observed token-volume growth</x:v>
      </x:c>
      <x:c r="L7" s="53" t="n">
        <x:v>0.59</x:v>
      </x:c>
      <x:c r="M7" s="18" t="str">
        <x:v>Observed</x:v>
      </x:c>
    </x:row>
    <x:row r="8">
      <x:c r="A8" s="45" t="d">
        <x:v>2026-07-31T00:00:00.000Z</x:v>
      </x:c>
      <x:c r="B8" s="19" t="str">
        <x:v>Vercel</x:v>
      </x:c>
      <x:c r="C8" s="19" t="str">
        <x:v>Exact break-even volume growth</x:v>
      </x:c>
      <x:c r="D8" s="47" t="n">
        <x:v>0.1574</x:v>
      </x:c>
      <x:c r="E8" s="19" t="str">
        <x:v>percent</x:v>
      </x:c>
      <x:c r="F8" s="19" t="str">
        <x:v>MoM</x:v>
      </x:c>
      <x:c r="G8" s="19" t="str">
        <x:v>SRC-VERCEL-JUL26-001</x:v>
      </x:c>
      <x:c r="H8" s="19" t="str">
        <x:v>Derived</x:v>
      </x:c>
      <x:c r="I8" s="43" t="str">
        <x:v>d divided by one minus d</x:v>
      </x:c>
      <x:c r="K8" s="18" t="str">
        <x:v>Implied spend growth</x:v>
      </x:c>
      <x:c r="L8" s="50" t="n">
        <x:f>(1+L7)*(1-L5)-1</x:f>
        <x:v>0.37375999999999987</x:v>
      </x:c>
      <x:c r="M8" s="18" t="str">
        <x:v>(1 + g) × (1 - d) - 1</x:v>
      </x:c>
    </x:row>
    <x:row r="9">
      <x:c r="A9" s="45" t="d">
        <x:v>2026-09-02T00:00:00.000Z</x:v>
      </x:c>
      <x:c r="B9" s="19" t="str">
        <x:v>Silicon Data</x:v>
      </x:c>
      <x:c r="C9" s="19" t="str">
        <x:v>Open LLM index</x:v>
      </x:c>
      <x:c r="D9" s="47" t="n">
        <x:v>0.52</x:v>
      </x:c>
      <x:c r="E9" s="19" t="str">
        <x:v>USD per million tokens</x:v>
      </x:c>
      <x:c r="F9" s="19" t="str">
        <x:v>spot</x:v>
      </x:c>
      <x:c r="G9" s="19" t="str">
        <x:v>SRC-SD-SEP02-001</x:v>
      </x:c>
      <x:c r="H9" s="19" t="str">
        <x:v>Reported</x:v>
      </x:c>
      <x:c r="I9" s="43" t="str">
        <x:v>30-day change -18.4 percent</x:v>
      </x:c>
      <x:c r="K9" s="18" t="str">
        <x:v>Log-change coverage</x:v>
      </x:c>
      <x:c r="L9" s="51" t="n">
        <x:f>LN(1+L7)/-LN(1-L5)</x:f>
        <x:v>3.1722947955074323</x:v>
      </x:c>
      <x:c r="M9" s="18" t="str">
        <x:v>ln(1 + g) / -ln(1 - d)</x:v>
      </x:c>
    </x:row>
    <x:row r="10">
      <x:c r="A10" s="45" t="d">
        <x:v>2026-09-02T00:00:00.000Z</x:v>
      </x:c>
      <x:c r="B10" s="19" t="str">
        <x:v>Silicon Data</x:v>
      </x:c>
      <x:c r="C10" s="19" t="str">
        <x:v>Proprietary LLM index</x:v>
      </x:c>
      <x:c r="D10" s="47" t="n">
        <x:v>2.08</x:v>
      </x:c>
      <x:c r="E10" s="19" t="str">
        <x:v>USD per million tokens</x:v>
      </x:c>
      <x:c r="F10" s="19" t="str">
        <x:v>spot</x:v>
      </x:c>
      <x:c r="G10" s="19" t="str">
        <x:v>SRC-SD-SEP02-001</x:v>
      </x:c>
      <x:c r="H10" s="19" t="str">
        <x:v>Reported</x:v>
      </x:c>
      <x:c r="I10" s="43" t="str">
        <x:v>30-day change -25.4 percent</x:v>
      </x:c>
      <x:c r="K10" s="49" t="str">
        <x:v>Regime</x:v>
      </x:c>
      <x:c r="L10" s="49" t="str">
        <x:f>IF(L7&gt;L6,"Jevons absorption","Price deflation wins")</x:f>
        <x:v>Jevons absorption</x:v>
      </x:c>
      <x:c r="M10" s="49" t="str">
        <x:v>Volume clears exact break-even</x:v>
      </x:c>
    </x:row>
    <x:row r="11">
      <x:c r="A11" s="45" t="d">
        <x:v>2026-09-02T00:00:00.000Z</x:v>
      </x:c>
      <x:c r="B11" s="19" t="str">
        <x:v>Silicon Data</x:v>
      </x:c>
      <x:c r="C11" s="19" t="str">
        <x:v>Broad LLM token expenditure index</x:v>
      </x:c>
      <x:c r="D11" s="47" t="n">
        <x:v>0.98</x:v>
      </x:c>
      <x:c r="E11" s="19" t="str">
        <x:v>USD per million tokens</x:v>
      </x:c>
      <x:c r="F11" s="19" t="str">
        <x:v>spot</x:v>
      </x:c>
      <x:c r="G11" s="19" t="str">
        <x:v>SRC-SD-SEP02-001</x:v>
      </x:c>
      <x:c r="H11" s="19" t="str">
        <x:v>Reported</x:v>
      </x:c>
      <x:c r="I11" s="43" t="str">
        <x:v>30-day change -23.1 percent</x:v>
      </x:c>
    </x:row>
    <x:row r="12">
      <x:c r="A12" s="45" t="d">
        <x:v>2026-09-02T00:00:00.000Z</x:v>
      </x:c>
      <x:c r="B12" s="19" t="str">
        <x:v>Silicon Data</x:v>
      </x:c>
      <x:c r="C12" s="19" t="str">
        <x:v>H100 rental index</x:v>
      </x:c>
      <x:c r="D12" s="47" t="n">
        <x:v>2.66</x:v>
      </x:c>
      <x:c r="E12" s="19" t="str">
        <x:v>USD per GPU-hour</x:v>
      </x:c>
      <x:c r="F12" s="19" t="str">
        <x:v>spot</x:v>
      </x:c>
      <x:c r="G12" s="19" t="str">
        <x:v>SRC-SD-SEP02-001</x:v>
      </x:c>
      <x:c r="H12" s="19" t="str">
        <x:v>Reported</x:v>
      </x:c>
      <x:c r="I12" s="43" t="str">
        <x:v>30-day change -2.9 percent</x:v>
      </x:c>
    </x:row>
    <x:row r="13">
      <x:c r="A13" s="45" t="d">
        <x:v>2026-09-05T00:00:00.000Z</x:v>
      </x:c>
      <x:c r="B13" s="19" t="str">
        <x:v>Silicon Data</x:v>
      </x:c>
      <x:c r="C13" s="19" t="str">
        <x:v>Broad LLM token expenditure index</x:v>
      </x:c>
      <x:c r="D13" s="47" t="n">
        <x:v>0.99</x:v>
      </x:c>
      <x:c r="E13" s="19" t="str">
        <x:v>USD per million tokens</x:v>
      </x:c>
      <x:c r="F13" s="19" t="str">
        <x:v>7D</x:v>
      </x:c>
      <x:c r="G13" s="19" t="str">
        <x:v>SRC-TOKEN-WE-SEP06-001</x:v>
      </x:c>
      <x:c r="H13" s="19" t="str">
        <x:v>Reported</x:v>
      </x:c>
      <x:c r="I13" s="43" t="str">
        <x:v>7-day change +1.6 percent</x:v>
      </x:c>
    </x:row>
    <x:row r="14">
      <x:c r="A14" s="45" t="d">
        <x:v>2026-09-06T00:00:00.000Z</x:v>
      </x:c>
      <x:c r="B14" s="19" t="str">
        <x:v>Vercel</x:v>
      </x:c>
      <x:c r="C14" s="19" t="str">
        <x:v>Open-weight token share</x:v>
      </x:c>
      <x:c r="D14" s="47" t="n">
        <x:v>0.653</x:v>
      </x:c>
      <x:c r="E14" s="19" t="str">
        <x:v>percent</x:v>
      </x:c>
      <x:c r="F14" s="19" t="str">
        <x:v>endpoint</x:v>
      </x:c>
      <x:c r="G14" s="19" t="str">
        <x:v>SRC-TOKEN-WE-SEP06-001</x:v>
      </x:c>
      <x:c r="H14" s="19" t="str">
        <x:v>Reported</x:v>
      </x:c>
      <x:c r="I14" s="43" t="str">
        <x:v>Gateway specific</x:v>
      </x:c>
    </x:row>
    <x:row r="15">
      <x:c r="A15" s="45" t="d">
        <x:v>2026-09-06T00:00:00.000Z</x:v>
      </x:c>
      <x:c r="B15" s="19" t="str">
        <x:v>Vercel</x:v>
      </x:c>
      <x:c r="C15" s="19" t="str">
        <x:v>DeepSeek token share</x:v>
      </x:c>
      <x:c r="D15" s="47" t="n">
        <x:v>0.413</x:v>
      </x:c>
      <x:c r="E15" s="19" t="str">
        <x:v>percent</x:v>
      </x:c>
      <x:c r="F15" s="19" t="str">
        <x:v>endpoint</x:v>
      </x:c>
      <x:c r="G15" s="19" t="str">
        <x:v>SRC-TOKEN-WE-SEP06-001</x:v>
      </x:c>
      <x:c r="H15" s="19" t="str">
        <x:v>Reported</x:v>
      </x:c>
      <x:c r="I15" s="43" t="str">
        <x:v>Lab-level share</x:v>
      </x:c>
    </x:row>
    <x:row r="16">
      <x:c r="A16" s="45" t="d">
        <x:v>2026-09-06T00:00:00.000Z</x:v>
      </x:c>
      <x:c r="B16" s="19" t="str">
        <x:v>Vercel</x:v>
      </x:c>
      <x:c r="C16" s="19" t="str">
        <x:v>DeepSeek spend share</x:v>
      </x:c>
      <x:c r="D16" s="47" t="n">
        <x:v>0.047</x:v>
      </x:c>
      <x:c r="E16" s="19" t="str">
        <x:v>percent</x:v>
      </x:c>
      <x:c r="F16" s="19" t="str">
        <x:v>endpoint</x:v>
      </x:c>
      <x:c r="G16" s="19" t="str">
        <x:v>SRC-TOKEN-WE-SEP06-001</x:v>
      </x:c>
      <x:c r="H16" s="19" t="str">
        <x:v>Reported</x:v>
      </x:c>
      <x:c r="I16" s="43" t="str">
        <x:v>Lab-level share</x:v>
      </x:c>
    </x:row>
    <x:row r="17">
      <x:c r="A17" s="45" t="d">
        <x:v>2026-09-06T00:00:00.000Z</x:v>
      </x:c>
      <x:c r="B17" s="19" t="str">
        <x:v>Vercel</x:v>
      </x:c>
      <x:c r="C17" s="19" t="str">
        <x:v>Anthropic token share</x:v>
      </x:c>
      <x:c r="D17" s="47" t="n">
        <x:v>0.115</x:v>
      </x:c>
      <x:c r="E17" s="19" t="str">
        <x:v>percent</x:v>
      </x:c>
      <x:c r="F17" s="19" t="str">
        <x:v>endpoint</x:v>
      </x:c>
      <x:c r="G17" s="19" t="str">
        <x:v>SRC-TOKEN-WE-SEP06-001</x:v>
      </x:c>
      <x:c r="H17" s="19" t="str">
        <x:v>Reported</x:v>
      </x:c>
      <x:c r="I17" s="43" t="str">
        <x:v>Lab-level share</x:v>
      </x:c>
    </x:row>
    <x:row r="18">
      <x:c r="A18" s="45" t="d">
        <x:v>2026-09-06T00:00:00.000Z</x:v>
      </x:c>
      <x:c r="B18" s="19" t="str">
        <x:v>Vercel</x:v>
      </x:c>
      <x:c r="C18" s="19" t="str">
        <x:v>Anthropic spend share</x:v>
      </x:c>
      <x:c r="D18" s="47" t="n">
        <x:v>0.548</x:v>
      </x:c>
      <x:c r="E18" s="19" t="str">
        <x:v>percent</x:v>
      </x:c>
      <x:c r="F18" s="19" t="str">
        <x:v>endpoint</x:v>
      </x:c>
      <x:c r="G18" s="19" t="str">
        <x:v>SRC-TOKEN-WE-SEP06-001</x:v>
      </x:c>
      <x:c r="H18" s="19" t="str">
        <x:v>Reported</x:v>
      </x:c>
      <x:c r="I18" s="43" t="str">
        <x:v>Lab-level share</x:v>
      </x:c>
    </x:row>
    <x:row r="19">
      <x:c r="A19" s="45" t="d">
        <x:v>2026-09-06T00:00:00.000Z</x:v>
      </x:c>
      <x:c r="B19" s="19" t="str">
        <x:v>Vercel</x:v>
      </x:c>
      <x:c r="C19" s="19" t="str">
        <x:v>OpenAI token share</x:v>
      </x:c>
      <x:c r="D19" s="47" t="n">
        <x:v>0.113</x:v>
      </x:c>
      <x:c r="E19" s="19" t="str">
        <x:v>percent</x:v>
      </x:c>
      <x:c r="F19" s="19" t="str">
        <x:v>endpoint</x:v>
      </x:c>
      <x:c r="G19" s="19" t="str">
        <x:v>SRC-TOKEN-WE-SEP06-001</x:v>
      </x:c>
      <x:c r="H19" s="19" t="str">
        <x:v>Reported</x:v>
      </x:c>
      <x:c r="I19" s="43" t="str">
        <x:v>Lab-level share</x:v>
      </x:c>
    </x:row>
    <x:row r="20">
      <x:c r="A20" s="45" t="d">
        <x:v>2026-09-06T00:00:00.000Z</x:v>
      </x:c>
      <x:c r="B20" s="19" t="str">
        <x:v>Vercel</x:v>
      </x:c>
      <x:c r="C20" s="19" t="str">
        <x:v>OpenAI spend share</x:v>
      </x:c>
      <x:c r="D20" s="47" t="n">
        <x:v>0.215</x:v>
      </x:c>
      <x:c r="E20" s="19" t="str">
        <x:v>percent</x:v>
      </x:c>
      <x:c r="F20" s="19" t="str">
        <x:v>endpoint</x:v>
      </x:c>
      <x:c r="G20" s="19" t="str">
        <x:v>SRC-TOKEN-WE-SEP06-001</x:v>
      </x:c>
      <x:c r="H20" s="19" t="str">
        <x:v>Reported</x:v>
      </x:c>
      <x:c r="I20" s="43" t="str">
        <x:v>Lab-level share</x:v>
      </x:c>
    </x:row>
    <x:row r="21">
      <x:c r="A21" s="45" t="d">
        <x:v>2026-09-09T00:00:00.000Z</x:v>
      </x:c>
      <x:c r="B21" s="19" t="str">
        <x:v>Ramp AI Index</x:v>
      </x:c>
      <x:c r="C21" s="19" t="str">
        <x:v>Effective price per million tokens</x:v>
      </x:c>
      <x:c r="D21" s="47" t="n">
        <x:v>0.68</x:v>
      </x:c>
      <x:c r="E21" s="19" t="str">
        <x:v>USD per million tokens</x:v>
      </x:c>
      <x:c r="F21" s="19" t="str">
        <x:v>publication_week</x:v>
      </x:c>
      <x:c r="G21" s="19" t="str">
        <x:v>SRC-RAMP-AIINDEX-SEP2026</x:v>
      </x:c>
      <x:c r="H21" s="19" t="str">
        <x:v>Reported</x:v>
      </x:c>
      <x:c r="I21" s="43" t="str">
        <x:v>Down 41 percent from 2026 peak of 1.15 in March</x:v>
      </x:c>
    </x:row>
    <x:row r="22">
      <x:c r="A22" s="45" t="d">
        <x:v>2026-09-20T00:00:00.000Z</x:v>
      </x:c>
      <x:c r="B22" s="19" t="str">
        <x:v>Ramp AI Index</x:v>
      </x:c>
      <x:c r="C22" s="19" t="str">
        <x:v>Total model-attributed spend</x:v>
      </x:c>
      <x:c r="D22" s="47" t="n">
        <x:v>27900000</x:v>
      </x:c>
      <x:c r="E22" s="19" t="str">
        <x:v>USD</x:v>
      </x:c>
      <x:c r="F22" s="19" t="str">
        <x:v>7D</x:v>
      </x:c>
      <x:c r="G22" s="19" t="str">
        <x:v>SRC-RAMP-AIINDEX-WE20260920</x:v>
      </x:c>
      <x:c r="H22" s="19" t="str">
        <x:v>Reported</x:v>
      </x:c>
      <x:c r="I22" s="43" t="str">
        <x:v>All models in connected business sample</x:v>
      </x:c>
    </x:row>
    <x:row r="23">
      <x:c r="A23" s="45" t="d">
        <x:v>2026-09-20T00:00:00.000Z</x:v>
      </x:c>
      <x:c r="B23" s="19" t="str">
        <x:v>Ramp AI Index</x:v>
      </x:c>
      <x:c r="C23" s="19" t="str">
        <x:v>OpenAI provider spend</x:v>
      </x:c>
      <x:c r="D23" s="47" t="n">
        <x:v>13700000</x:v>
      </x:c>
      <x:c r="E23" s="19" t="str">
        <x:v>USD</x:v>
      </x:c>
      <x:c r="F23" s="19" t="str">
        <x:v>7D</x:v>
      </x:c>
      <x:c r="G23" s="19" t="str">
        <x:v>SRC-RAMP-AIINDEX-WE20260920</x:v>
      </x:c>
      <x:c r="H23" s="19" t="str">
        <x:v>Reported</x:v>
      </x:c>
      <x:c r="I23" s="43" t="str">
        <x:v>Provider total from weekly volume chart</x:v>
      </x:c>
    </x:row>
    <x:row r="24">
      <x:c r="A24" s="45" t="d">
        <x:v>2026-09-20T00:00:00.000Z</x:v>
      </x:c>
      <x:c r="B24" s="19" t="str">
        <x:v>Ramp AI Index</x:v>
      </x:c>
      <x:c r="C24" s="19" t="str">
        <x:v>Anthropic provider spend</x:v>
      </x:c>
      <x:c r="D24" s="47" t="n">
        <x:v>13100000</x:v>
      </x:c>
      <x:c r="E24" s="19" t="str">
        <x:v>USD</x:v>
      </x:c>
      <x:c r="F24" s="19" t="str">
        <x:v>7D</x:v>
      </x:c>
      <x:c r="G24" s="19" t="str">
        <x:v>SRC-RAMP-AIINDEX-WE20260920</x:v>
      </x:c>
      <x:c r="H24" s="19" t="str">
        <x:v>Reported</x:v>
      </x:c>
      <x:c r="I24" s="43" t="str">
        <x:v>Provider total from weekly volume chart</x:v>
      </x:c>
    </x:row>
    <x:row r="25">
      <x:c r="A25" s="45" t="d">
        <x:v>2026-09-20T00:00:00.000Z</x:v>
      </x:c>
      <x:c r="B25" s="19" t="str">
        <x:v>Ramp AI Index</x:v>
      </x:c>
      <x:c r="C25" s="19" t="str">
        <x:v>xAI provider spend</x:v>
      </x:c>
      <x:c r="D25" s="47" t="n">
        <x:v>633900</x:v>
      </x:c>
      <x:c r="E25" s="19" t="str">
        <x:v>USD</x:v>
      </x:c>
      <x:c r="F25" s="19" t="str">
        <x:v>7D</x:v>
      </x:c>
      <x:c r="G25" s="19" t="str">
        <x:v>SRC-RAMP-AIINDEX-WE20260920</x:v>
      </x:c>
      <x:c r="H25" s="19" t="str">
        <x:v>Reported</x:v>
      </x:c>
      <x:c r="I25" s="43" t="str">
        <x:v>Provider total from weekly volume chart</x:v>
      </x:c>
    </x:row>
    <x:row r="26">
      <x:c r="A26" s="45" t="d">
        <x:v>2026-09-20T00:00:00.000Z</x:v>
      </x:c>
      <x:c r="B26" s="19" t="str">
        <x:v>Ramp AI Index</x:v>
      </x:c>
      <x:c r="C26" s="19" t="str">
        <x:v>Google provider spend</x:v>
      </x:c>
      <x:c r="D26" s="47" t="n">
        <x:v>429500</x:v>
      </x:c>
      <x:c r="E26" s="19" t="str">
        <x:v>USD</x:v>
      </x:c>
      <x:c r="F26" s="19" t="str">
        <x:v>7D</x:v>
      </x:c>
      <x:c r="G26" s="19" t="str">
        <x:v>SRC-RAMP-AIINDEX-WE20260920</x:v>
      </x:c>
      <x:c r="H26" s="19" t="str">
        <x:v>Reported</x:v>
      </x:c>
      <x:c r="I26" s="43" t="str">
        <x:v>Provider total from weekly volume chart</x:v>
      </x:c>
    </x:row>
    <x:row r="27">
      <x:c r="A27" s="45" t="d">
        <x:v>2026-09-20T00:00:00.000Z</x:v>
      </x:c>
      <x:c r="B27" s="19" t="str">
        <x:v>Ramp AI Index</x:v>
      </x:c>
      <x:c r="C27" s="19" t="str">
        <x:v>GPT-6 Astra spend</x:v>
      </x:c>
      <x:c r="D27" s="47" t="n">
        <x:v>5300000</x:v>
      </x:c>
      <x:c r="E27" s="19" t="str">
        <x:v>USD</x:v>
      </x:c>
      <x:c r="F27" s="19" t="str">
        <x:v>7D</x:v>
      </x:c>
      <x:c r="G27" s="19" t="str">
        <x:v>SRC-RAMP-AIINDEX-WE20260920</x:v>
      </x:c>
      <x:c r="H27" s="19" t="str">
        <x:v>Reported</x:v>
      </x:c>
      <x:c r="I27" s="43" t="str">
        <x:v>Model rank 1</x:v>
      </x:c>
    </x:row>
    <x:row r="28">
      <x:c r="A28" s="45" t="d">
        <x:v>2026-09-20T00:00:00.000Z</x:v>
      </x:c>
      <x:c r="B28" s="19" t="str">
        <x:v>Ramp AI Index</x:v>
      </x:c>
      <x:c r="C28" s="19" t="str">
        <x:v>Claude Opus 5 spend</x:v>
      </x:c>
      <x:c r="D28" s="47" t="n">
        <x:v>4800000</x:v>
      </x:c>
      <x:c r="E28" s="19" t="str">
        <x:v>USD</x:v>
      </x:c>
      <x:c r="F28" s="19" t="str">
        <x:v>7D</x:v>
      </x:c>
      <x:c r="G28" s="19" t="str">
        <x:v>SRC-RAMP-AIINDEX-WE20260920</x:v>
      </x:c>
      <x:c r="H28" s="19" t="str">
        <x:v>Reported</x:v>
      </x:c>
      <x:c r="I28" s="43" t="str">
        <x:v>Model rank 2</x:v>
      </x:c>
    </x:row>
    <x:row r="29">
      <x:c r="A29" s="45" t="d">
        <x:v>2026-09-20T00:00:00.000Z</x:v>
      </x:c>
      <x:c r="B29" s="19" t="str">
        <x:v>Ramp AI Index</x:v>
      </x:c>
      <x:c r="C29" s="19" t="str">
        <x:v>GPT-5.6 Sol spend</x:v>
      </x:c>
      <x:c r="D29" s="47" t="n">
        <x:v>3200000</x:v>
      </x:c>
      <x:c r="E29" s="19" t="str">
        <x:v>USD</x:v>
      </x:c>
      <x:c r="F29" s="19" t="str">
        <x:v>7D</x:v>
      </x:c>
      <x:c r="G29" s="19" t="str">
        <x:v>SRC-RAMP-AIINDEX-WE20260920</x:v>
      </x:c>
      <x:c r="H29" s="19" t="str">
        <x:v>Reported</x:v>
      </x:c>
      <x:c r="I29" s="43" t="str">
        <x:v>Model rank 3</x:v>
      </x:c>
    </x:row>
    <x:row r="30">
      <x:c r="A30" s="45" t="d">
        <x:v>2026-09-20T00:00:00.000Z</x:v>
      </x:c>
      <x:c r="B30" s="19" t="str">
        <x:v>Ramp AI Index</x:v>
      </x:c>
      <x:c r="C30" s="19" t="str">
        <x:v>Claude Opus 4.8 spend</x:v>
      </x:c>
      <x:c r="D30" s="47" t="n">
        <x:v>2100000</x:v>
      </x:c>
      <x:c r="E30" s="19" t="str">
        <x:v>USD</x:v>
      </x:c>
      <x:c r="F30" s="19" t="str">
        <x:v>7D</x:v>
      </x:c>
      <x:c r="G30" s="19" t="str">
        <x:v>SRC-RAMP-AIINDEX-WE20260920</x:v>
      </x:c>
      <x:c r="H30" s="19" t="str">
        <x:v>Reported</x:v>
      </x:c>
      <x:c r="I30" s="43" t="str">
        <x:v>Model rank 4</x:v>
      </x:c>
    </x:row>
    <x:row r="31">
      <x:c r="A31" s="45" t="d">
        <x:v>2026-09-20T00:00:00.000Z</x:v>
      </x:c>
      <x:c r="B31" s="19" t="str">
        <x:v>Ramp AI Index</x:v>
      </x:c>
      <x:c r="C31" s="19" t="str">
        <x:v>Claude Fable 5.1 spend</x:v>
      </x:c>
      <x:c r="D31" s="47" t="n">
        <x:v>1800000</x:v>
      </x:c>
      <x:c r="E31" s="19" t="str">
        <x:v>USD</x:v>
      </x:c>
      <x:c r="F31" s="19" t="str">
        <x:v>7D</x:v>
      </x:c>
      <x:c r="G31" s="19" t="str">
        <x:v>SRC-RAMP-AIINDEX-WE20260920</x:v>
      </x:c>
      <x:c r="H31" s="19" t="str">
        <x:v>Reported</x:v>
      </x:c>
      <x:c r="I31" s="43" t="str">
        <x:v>Model rank 5</x:v>
      </x:c>
    </x:row>
    <x:row r="32">
      <x:c r="A32" s="46" t="d">
        <x:v>2026-09-20T00:00:00.000Z</x:v>
      </x:c>
      <x:c r="B32" s="20" t="str">
        <x:v>Ramp AI Index</x:v>
      </x:c>
      <x:c r="C32" s="20" t="str">
        <x:v>Claude Sonnet 5 spend</x:v>
      </x:c>
      <x:c r="D32" s="48" t="n">
        <x:v>1500000</x:v>
      </x:c>
      <x:c r="E32" s="20" t="str">
        <x:v>USD</x:v>
      </x:c>
      <x:c r="F32" s="20" t="str">
        <x:v>7D</x:v>
      </x:c>
      <x:c r="G32" s="20" t="str">
        <x:v>SRC-RAMP-AIINDEX-WE20260920</x:v>
      </x:c>
      <x:c r="H32" s="20" t="str">
        <x:v>Reported</x:v>
      </x:c>
      <x:c r="I32" s="44" t="str">
        <x:v>Model rank 6</x:v>
      </x:c>
    </x:row>
  </x:sheetData>
  <x:pageMargins left="0.7" right="0.7" top="0.75" bottom="0.75" header="0.3" footer="0.3"/>
  <x:tableParts count="1">
    <x:tablePart xmlns:r="http://schemas.openxmlformats.org/officeDocument/2006/relationships" r:id="R901fa90c522842b1"/>
  </x:tableParts>
</x:worksheet>
</file>

<file path=xl/worksheets/sheet5.xml><?xml version="1.0" encoding="utf-8"?>
<x:worksheet xmlns:x="http://schemas.openxmlformats.org/spreadsheetml/2006/main">
  <x:sheetPr>
    <x:tabColor rgb="FF5B8D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48" hidden="0" customWidth="1"/>
    <x:col min="11" max="11" width="18" hidden="0" customWidth="1"/>
    <x:col min="12" max="12" width="18" hidden="0" customWidth="1"/>
  </x:cols>
  <x:sheetData>
    <x:row r="2">
      <x:c r="A2" s="2" t="str">
        <x:v>Power and compute benchmarks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Numeric columns require verified IT-load GW; scope-unresolved supplier claims remain in notes.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2" customHeight="1">
      <x:c r="A4" s="15" t="str">
        <x:v>Reference</x:v>
      </x:c>
      <x:c r="B4" s="16" t="str">
        <x:v>Architecture / site</x:v>
      </x:c>
      <x:c r="C4" s="16" t="str">
        <x:v>Compute content ($B / IT GW)</x:v>
      </x:c>
      <x:c r="D4" s="16" t="str">
        <x:v>Facility ($B / IT GW)</x:v>
      </x:c>
      <x:c r="E4" s="16" t="str">
        <x:v>Total ($B / IT GW)</x:v>
      </x:c>
      <x:c r="F4" s="16" t="str">
        <x:v>Revenue low ($B / IT GW-year)</x:v>
      </x:c>
      <x:c r="G4" s="16" t="str">
        <x:v>Revenue high ($B / IT GW-year)</x:v>
      </x:c>
      <x:c r="H4" s="16" t="str">
        <x:v>Source ID</x:v>
      </x:c>
      <x:c r="I4" s="16" t="str">
        <x:v>Evidence state</x:v>
      </x:c>
      <x:c r="J4" s="16" t="str">
        <x:v>Notes</x:v>
      </x:c>
      <x:c r="K4" s="16" t="str">
        <x:v>Gross payback low (years)</x:v>
      </x:c>
      <x:c r="L4" s="17" t="str">
        <x:v>Gross payback high (years)</x:v>
      </x:c>
    </x:row>
    <x:row r="5">
      <x:c r="A5" s="19" t="str">
        <x:v>xAI / SpaceX</x:v>
      </x:c>
      <x:c r="B5" s="19" t="str">
        <x:v>Blackwell-era brownfield</x:v>
      </x:c>
      <x:c r="C5" s="54" t="n">
        <x:v>24.8</x:v>
      </x:c>
      <x:c r="D5" s="54" t="n">
        <x:v>2.85</x:v>
      </x:c>
      <x:c r="E5" s="54" t="n">
        <x:v>27.7</x:v>
      </x:c>
      <x:c r="F5" s="54"/>
      <x:c r="G5" s="54"/>
      <x:c r="H5" s="19" t="str">
        <x:v>SRC-WB-P2S-001</x:v>
      </x:c>
      <x:c r="I5" s="19" t="str">
        <x:v>Derived</x:v>
      </x:c>
      <x:c r="J5" s="43" t="str">
        <x:v>Compute and facility figures share project denominator</x:v>
      </x:c>
      <x:c r="K5" s="56" t="str">
        <x:f>IF(OR(E5="",G5="",G5=0),"",E5/G5)</x:f>
      </x:c>
      <x:c r="L5" s="56" t="str">
        <x:f>IF(OR(E5="",F5="",F5=0),"",E5/F5)</x:f>
      </x:c>
    </x:row>
    <x:row r="6">
      <x:c r="A6" s="19" t="str">
        <x:v>Epoch AI</x:v>
      </x:c>
      <x:c r="B6" s="19" t="str">
        <x:v>Blackwell-era greenfield</x:v>
      </x:c>
      <x:c r="C6" s="54" t="n">
        <x:v>26.1</x:v>
      </x:c>
      <x:c r="D6" s="54" t="n">
        <x:v>11.4</x:v>
      </x:c>
      <x:c r="E6" s="54" t="n">
        <x:v>37.9</x:v>
      </x:c>
      <x:c r="F6" s="54" t="n">
        <x:v>10</x:v>
      </x:c>
      <x:c r="G6" s="54" t="n">
        <x:v>12</x:v>
      </x:c>
      <x:c r="H6" s="19" t="str">
        <x:v>SRC-WB-P2S-001</x:v>
      </x:c>
      <x:c r="I6" s="19" t="str">
        <x:v>Modeled</x:v>
      </x:c>
      <x:c r="J6" s="43" t="str">
        <x:v>Revenue range reflects market or spot estimate</x:v>
      </x:c>
      <x:c r="K6" s="56" t="n">
        <x:f>IF(OR(E6="",G6="",G6=0),"",E6/G6)</x:f>
        <x:v>3.158333333333333</x:v>
      </x:c>
      <x:c r="L6" s="56" t="n">
        <x:f>IF(OR(E6="",F6="",F6=0),"",E6/F6)</x:f>
        <x:v>3.79</x:v>
      </x:c>
    </x:row>
    <x:row r="7">
      <x:c r="A7" s="19" t="str">
        <x:v>Nscale / Anthropic</x:v>
      </x:c>
      <x:c r="B7" s="19" t="str">
        <x:v>Vera Rubin greenfield islanded</x:v>
      </x:c>
      <x:c r="C7" s="54"/>
      <x:c r="D7" s="54"/>
      <x:c r="E7" s="54"/>
      <x:c r="F7" s="54"/>
      <x:c r="G7" s="54"/>
      <x:c r="H7" s="19" t="str">
        <x:v>SRC-NSCALE-S1-20260918</x:v>
      </x:c>
      <x:c r="I7" s="19" t="str">
        <x:v>Open</x:v>
      </x:c>
      <x:c r="J7" s="43" t="str">
        <x:v>Inherited capex/rate estimates retained as reference_only atomic history. Current primary contract capacity/term/rate are redacted; no verified project payback.</x:v>
      </x:c>
      <x:c r="K7" s="56" t="str">
        <x:f>IF(OR(E7="",G7="",G7=0),"",E7/G7)</x:f>
      </x:c>
      <x:c r="L7" s="56" t="str">
        <x:f>IF(OR(E7="",F7="",F7=0),"",E7/F7)</x:f>
      </x:c>
    </x:row>
    <x:row r="8">
      <x:c r="A8" s="19" t="str">
        <x:v>NVIDIA</x:v>
      </x:c>
      <x:c r="B8" s="19" t="str">
        <x:v>Hopper</x:v>
      </x:c>
      <x:c r="C8" s="54"/>
      <x:c r="D8" s="54"/>
      <x:c r="E8" s="54"/>
      <x:c r="F8" s="54"/>
      <x:c r="G8" s="54"/>
      <x:c r="H8" s="19" t="str">
        <x:v>SRC-NVDA-Q2FY27-001</x:v>
      </x:c>
      <x:c r="I8" s="19" t="str">
        <x:v>Company claim</x:v>
      </x:c>
      <x:c r="J8" s="43" t="str">
        <x:v>$18B per stated GW supplier opportunity; IT/facility boundary unstated. IT-normalized numeric cell intentionally blank; not annual revenue.</x:v>
      </x:c>
      <x:c r="K8" s="56" t="str">
        <x:f>IF(OR(E8="",G8="",G8=0),"",E8/G8)</x:f>
      </x:c>
      <x:c r="L8" s="56" t="str">
        <x:f>IF(OR(E8="",F8="",F8=0),"",E8/F8)</x:f>
      </x:c>
    </x:row>
    <x:row r="9">
      <x:c r="A9" s="19" t="str">
        <x:v>NVIDIA</x:v>
      </x:c>
      <x:c r="B9" s="19" t="str">
        <x:v>Blackwell</x:v>
      </x:c>
      <x:c r="C9" s="54"/>
      <x:c r="D9" s="54"/>
      <x:c r="E9" s="54"/>
      <x:c r="F9" s="54"/>
      <x:c r="G9" s="54"/>
      <x:c r="H9" s="19" t="str">
        <x:v>SRC-NVDA-Q2FY27-001</x:v>
      </x:c>
      <x:c r="I9" s="19" t="str">
        <x:v>Company claim</x:v>
      </x:c>
      <x:c r="J9" s="43" t="str">
        <x:v>$25B per stated GW supplier opportunity; IT/facility boundary unstated. IT-normalized numeric cell intentionally blank; not annual revenue.</x:v>
      </x:c>
      <x:c r="K9" s="56" t="str">
        <x:f>IF(OR(E9="",G9="",G9=0),"",E9/G9)</x:f>
      </x:c>
      <x:c r="L9" s="56" t="str">
        <x:f>IF(OR(E9="",F9="",F9=0),"",E9/F9)</x:f>
      </x:c>
    </x:row>
    <x:row r="10">
      <x:c r="A10" s="19" t="str">
        <x:v>NVIDIA</x:v>
      </x:c>
      <x:c r="B10" s="19" t="str">
        <x:v>Vera Rubin</x:v>
      </x:c>
      <x:c r="C10" s="54"/>
      <x:c r="D10" s="54"/>
      <x:c r="E10" s="54"/>
      <x:c r="F10" s="54"/>
      <x:c r="G10" s="54"/>
      <x:c r="H10" s="19" t="str">
        <x:v>SRC-NVDA-Q2FY27-001</x:v>
      </x:c>
      <x:c r="I10" s="19" t="str">
        <x:v>Company claim</x:v>
      </x:c>
      <x:c r="J10" s="43" t="str">
        <x:v>$40B per stated GW supplier opportunity; IT/facility boundary unstated. IT-normalized numeric cell intentionally blank; not annual revenue.</x:v>
      </x:c>
      <x:c r="K10" s="56" t="str">
        <x:f>IF(OR(E10="",G10="",G10=0),"",E10/G10)</x:f>
      </x:c>
      <x:c r="L10" s="56" t="str">
        <x:f>IF(OR(E10="",F10="",F10=0),"",E10/F10)</x:f>
      </x:c>
    </x:row>
    <x:row r="11">
      <x:c r="A11" s="19" t="str">
        <x:v>OpenAI / Stargate</x:v>
      </x:c>
      <x:c r="B11" s="19" t="str">
        <x:v>Abilene full-build facility/JV</x:v>
      </x:c>
      <x:c r="C11" s="54"/>
      <x:c r="D11" s="54" t="n">
        <x:v>16.25</x:v>
      </x:c>
      <x:c r="E11" s="54" t="n">
        <x:v>16.25</x:v>
      </x:c>
      <x:c r="F11" s="54"/>
      <x:c r="G11" s="54"/>
      <x:c r="H11" s="19" t="str">
        <x:v>SRC-CRUSOE-ABILENE-20250521</x:v>
      </x:c>
      <x:c r="I11" s="19" t="str">
        <x:v>Derived</x:v>
      </x:c>
      <x:c r="J11" s="43" t="str">
        <x:v>$15B / (1.2GW facility / 1.3 design PUE). Range $15.0B-$17.5B per IT GW at 1.2-1.4 design PUE. Project/facility capital, not compute-content spend or revenue.</x:v>
      </x:c>
      <x:c r="K11" s="56" t="str">
        <x:f>IF(OR(E11="",G11="",G11=0),"",E11/G11)</x:f>
      </x:c>
      <x:c r="L11" s="56" t="str">
        <x:f>IF(OR(E11="",F11="",F11=0),"",E11/F11)</x:f>
      </x:c>
    </x:row>
    <x:row r="12">
      <x:c r="A12" s="19" t="str">
        <x:v>XPV</x:v>
      </x:c>
      <x:c r="B12" s="19" t="str">
        <x:v>Anthropic / Fluidstack</x:v>
      </x:c>
      <x:c r="C12" s="54"/>
      <x:c r="D12" s="54"/>
      <x:c r="E12" s="54"/>
      <x:c r="F12" s="54"/>
      <x:c r="G12" s="54"/>
      <x:c r="H12" s="19" t="str">
        <x:v>SRC-AVGO-XPV-20260609</x:v>
      </x:c>
      <x:c r="I12" s="19" t="str">
        <x:v>Open</x:v>
      </x:c>
      <x:c r="J12" s="43" t="str">
        <x:v>$35B capital solution for more than 1 stated compute GW; financing transaction, not supplier content, facility cost or recognized revenue. Exact power boundary and cost allocation remain open.</x:v>
      </x:c>
      <x:c r="K12" s="56" t="str">
        <x:f>IF(OR(E12="",G12="",G12=0),"",E12/G12)</x:f>
      </x:c>
      <x:c r="L12" s="56" t="str">
        <x:f>IF(OR(E12="",F12="",F12=0),"",E12/F12)</x:f>
      </x:c>
    </x:row>
    <x:row r="13">
      <x:c r="A13" s="20" t="str">
        <x:v>Broadcom</x:v>
      </x:c>
      <x:c r="B13" s="20" t="str">
        <x:v>Custom accelerators and networking</x:v>
      </x:c>
      <x:c r="C13" s="55"/>
      <x:c r="D13" s="55"/>
      <x:c r="E13" s="55"/>
      <x:c r="F13" s="55"/>
      <x:c r="G13" s="55"/>
      <x:c r="H13" s="20" t="str">
        <x:v>SRC-AVGO-EARNINGS-Q3FY26</x:v>
      </x:c>
      <x:c r="I13" s="20" t="str">
        <x:v>Open</x:v>
      </x:c>
      <x:c r="J13" s="44" t="str">
        <x:v>Q3 AI semiconductor revenue is reported, but matched deployed IT-load GW and architecture mix are not disclosed; prior compiled numeric anchor superseded.</x:v>
      </x:c>
      <x:c r="K13" s="57" t="str">
        <x:f>IF(OR(E13="",G13="",G13=0),"",E13/G13)</x:f>
      </x:c>
      <x:c r="L13" s="57" t="str">
        <x:f>IF(OR(E13="",F13="",F13=0),"",E13/F13)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E9AA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24" hidden="0" customWidth="1"/>
    <x:col min="4" max="4" width="38" hidden="0" customWidth="1"/>
    <x:col min="5" max="5" width="22" hidden="0" customWidth="1"/>
    <x:col min="6" max="6" width="58" hidden="0" customWidth="1"/>
    <x:col min="7" max="7" width="42" hidden="0" customWidth="1"/>
    <x:col min="8" max="8" width="20" hidden="0" customWidth="1"/>
    <x:col min="9" max="9" width="46" hidden="0" customWidth="1"/>
  </x:cols>
  <x:sheetData>
    <x:row r="2">
      <x:c r="A2" s="2" t="str">
        <x:v>Source register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Every hard-coded observation should resolve to one source ID here.</x:v>
      </x:c>
      <x:c r="B3" s="3"/>
      <x:c r="C3" s="3"/>
      <x:c r="D3" s="3"/>
      <x:c r="E3" s="3"/>
      <x:c r="F3" s="3"/>
      <x:c r="G3" s="3"/>
      <x:c r="H3" s="3"/>
      <x:c r="I3" s="3"/>
    </x:row>
    <x:row r="4" ht="32" customHeight="1">
      <x:c r="A4" s="15" t="str">
        <x:v>Source ID</x:v>
      </x:c>
      <x:c r="B4" s="16" t="str">
        <x:v>Date</x:v>
      </x:c>
      <x:c r="C4" s="16" t="str">
        <x:v>Publisher</x:v>
      </x:c>
      <x:c r="D4" s="16" t="str">
        <x:v>Title</x:v>
      </x:c>
      <x:c r="E4" s="16" t="str">
        <x:v>Artifact type</x:v>
      </x:c>
      <x:c r="F4" s="16" t="str">
        <x:v>Url</x:v>
      </x:c>
      <x:c r="G4" s="16" t="str">
        <x:v>Supports</x:v>
      </x:c>
      <x:c r="H4" s="16" t="str">
        <x:v>Status</x:v>
      </x:c>
      <x:c r="I4" s="17" t="str">
        <x:v>Notes</x:v>
      </x:c>
    </x:row>
    <x:row r="5">
      <x:c r="A5" s="19" t="str">
        <x:v>SRC-CHAT-001</x:v>
      </x:c>
      <x:c r="B5" s="45" t="d">
        <x:v>2026-09-08T00:00:00.000Z</x:v>
      </x:c>
      <x:c r="C5" s="19" t="str">
        <x:v>Jake / ChatGPT</x:v>
      </x:c>
      <x:c r="D5" s="43" t="str">
        <x:v>Full originating MW/$ project chat</x:v>
      </x:c>
      <x:c r="E5" s="43" t="str">
        <x:v>Project conversation</x:v>
      </x:c>
      <x:c r="F5" s="43"/>
      <x:c r="G5" s="43" t="str">
        <x:v>Company-specific method configuration</x:v>
      </x:c>
      <x:c r="H5" s="43" t="str">
        <x:v>Canonical internal source</x:v>
      </x:c>
      <x:c r="I5" s="43" t="str">
        <x:v>Added to this project in full by Jake</x:v>
      </x:c>
    </x:row>
    <x:row r="6">
      <x:c r="A6" s="19" t="str">
        <x:v>SRC-WB-P2S-001</x:v>
      </x:c>
      <x:c r="B6" s="45" t="d">
        <x:v>2026-09-04T00:00:00.000Z</x:v>
      </x:c>
      <x:c r="C6" s="19" t="str">
        <x:v>Wiki-Brain</x:v>
      </x:c>
      <x:c r="D6" s="43" t="str">
        <x:v>Power-to-Silicon Thesis</x:v>
      </x:c>
      <x:c r="E6" s="43" t="str">
        <x:v>Markdown</x:v>
      </x:c>
      <x:c r="F6" s="43" t="str">
        <x:v>https://github.com/smsyt4sjvc-crypto/Wiki-Brain/blob/main/wiki/power-to-silicon-thesis.md</x:v>
      </x:c>
      <x:c r="G6" s="43" t="str">
        <x:v>Power conversion capex per GW revenue per GW and correction history</x:v>
      </x:c>
      <x:c r="H6" s="43" t="str">
        <x:v>Read-only reference</x:v>
      </x:c>
      <x:c r="I6" s="43" t="str">
        <x:v>Do not modify Wiki-Brain</x:v>
      </x:c>
    </x:row>
    <x:row r="7">
      <x:c r="A7" s="19" t="str">
        <x:v>SRC-WB-NSCALE-001</x:v>
      </x:c>
      <x:c r="B7" s="45" t="d">
        <x:v>2026-08-26T00:00:00.000Z</x:v>
      </x:c>
      <x:c r="C7" s="19" t="str">
        <x:v>Wiki-Brain</x:v>
      </x:c>
      <x:c r="D7" s="43" t="str">
        <x:v>Anthropic x Nscale West Virginia unit economics</x:v>
      </x:c>
      <x:c r="E7" s="43" t="str">
        <x:v>Markdown</x:v>
      </x:c>
      <x:c r="F7" s="43" t="str">
        <x:v>https://github.com/smsyt4sjvc-crypto/Wiki-Brain/blob/main/wiki/ai-financing-fragility.md</x:v>
      </x:c>
      <x:c r="G7" s="43" t="str">
        <x:v>Nscale contract and project economics</x:v>
      </x:c>
      <x:c r="H7" s="43" t="str">
        <x:v>Read-only reference</x:v>
      </x:c>
      <x:c r="I7" s="43" t="str">
        <x:v>See entry dated 2026-08-26</x:v>
      </x:c>
    </x:row>
    <x:row r="8">
      <x:c r="A8" s="19" t="str">
        <x:v>SRC-WB-CRWV-001</x:v>
      </x:c>
      <x:c r="B8" s="45" t="d">
        <x:v>2026-08-13T00:00:00.000Z</x:v>
      </x:c>
      <x:c r="C8" s="19" t="str">
        <x:v>Wiki-Brain</x:v>
      </x:c>
      <x:c r="D8" s="43" t="str">
        <x:v>CoreWeave active-power and revenue identity</x:v>
      </x:c>
      <x:c r="E8" s="43" t="str">
        <x:v>Markdown</x:v>
      </x:c>
      <x:c r="F8" s="43" t="str">
        <x:v>https://github.com/smsyt4sjvc-crypto/Wiki-Brain/blob/main/wiki/ai-financing-fragility.md</x:v>
      </x:c>
      <x:c r="G8" s="43" t="str">
        <x:v>CoreWeave method constraints and active MW</x:v>
      </x:c>
      <x:c r="H8" s="43" t="str">
        <x:v>Read-only reference</x:v>
      </x:c>
      <x:c r="I8" s="43" t="str">
        <x:v>Period-average MW still required</x:v>
      </x:c>
    </x:row>
    <x:row r="9">
      <x:c r="A9" s="19" t="str">
        <x:v>SRC-VERCEL-JUL26-001</x:v>
      </x:c>
      <x:c r="B9" s="45" t="d">
        <x:v>2026-08-11T00:00:00.000Z</x:v>
      </x:c>
      <x:c r="C9" s="19" t="str">
        <x:v>Vercel</x:v>
      </x:c>
      <x:c r="D9" s="43" t="str">
        <x:v>DeepSeek overtakes Google on volume cost per token falls 13.6 percent</x:v>
      </x:c>
      <x:c r="E9" s="43" t="str">
        <x:v>Web</x:v>
      </x:c>
      <x:c r="F9" s="43" t="str">
        <x:v>https://vercel.com/blog/deepseek-overtakes-google-on-volume-cost-per-token-falls</x:v>
      </x:c>
      <x:c r="G9" s="43" t="str">
        <x:v>July volume price spend and mix</x:v>
      </x:c>
      <x:c r="H9" s="43" t="str">
        <x:v>Primary</x:v>
      </x:c>
      <x:c r="I9" s="43" t="str">
        <x:v>Gateway sample not global market</x:v>
      </x:c>
    </x:row>
    <x:row r="10">
      <x:c r="A10" s="19" t="str">
        <x:v>SRC-SD-SEP02-001</x:v>
      </x:c>
      <x:c r="B10" s="45" t="d">
        <x:v>2026-09-02T00:00:00.000Z</x:v>
      </x:c>
      <x:c r="C10" s="19" t="str">
        <x:v>Silicon Data</x:v>
      </x:c>
      <x:c r="D10" s="43" t="str">
        <x:v>Open versus Proprietary LLM decomposition</x:v>
      </x:c>
      <x:c r="E10" s="43" t="str">
        <x:v>Account dashboard snapshot</x:v>
      </x:c>
      <x:c r="F10" s="43" t="str">
        <x:v>https://github.com/smsyt4sjvc-crypto/Wiki-Brain/blob/main/raw/2026-09-03-silicon-data-open-vs-proprietary-decomposition.txt</x:v>
      </x:c>
      <x:c r="G10" s="43" t="str">
        <x:v>Open proprietary broad token expenditure and H100 rent</x:v>
      </x:c>
      <x:c r="H10" s="43" t="str">
        <x:v>Primary snapshot</x:v>
      </x:c>
      <x:c r="I10" s="43" t="str">
        <x:v>Usage-weighted effective expenditure</x:v>
      </x:c>
    </x:row>
    <x:row r="11">
      <x:c r="A11" s="19" t="str">
        <x:v>SRC-TOKEN-WE-SEP06-001</x:v>
      </x:c>
      <x:c r="B11" s="45" t="d">
        <x:v>2026-09-06T00:00:00.000Z</x:v>
      </x:c>
      <x:c r="C11" s="19" t="str">
        <x:v>MW/$ prior chat</x:v>
      </x:c>
      <x:c r="D11" s="43" t="str">
        <x:v>AI Token Economics week ending September 6</x:v>
      </x:c>
      <x:c r="E11" s="43" t="str">
        <x:v>Research brief</x:v>
      </x:c>
      <x:c r="F11" s="43" t="str">
        <x:v>https://github.com/smsyt4sjvc-crypto/Wiki-Brain/blob/main/raw/2026-09-06-ai-token-economics-weekly-plus-usage-segmentation.txt</x:v>
      </x:c>
      <x:c r="G11" s="43" t="str">
        <x:v>Silicon Data Vercel routing mix and enterprise segmentation</x:v>
      </x:c>
      <x:c r="H11" s="43" t="str">
        <x:v>Compiled with source labels</x:v>
      </x:c>
      <x:c r="I11" s="43" t="str">
        <x:v>Verify constituent primaries on refresh</x:v>
      </x:c>
    </x:row>
    <x:row r="12">
      <x:c r="A12" s="19" t="str">
        <x:v>SRC-TOKEN-AUG19-001</x:v>
      </x:c>
      <x:c r="B12" s="45" t="d">
        <x:v>2026-08-19T00:00:00.000Z</x:v>
      </x:c>
      <x:c r="C12" s="19" t="str">
        <x:v>MW/$ prior chat</x:v>
      </x:c>
      <x:c r="D12" s="43" t="str">
        <x:v>AI Token Economics Jevons report</x:v>
      </x:c>
      <x:c r="E12" s="43" t="str">
        <x:v>Research brief</x:v>
      </x:c>
      <x:c r="F12" s="43" t="str">
        <x:v>https://github.com/smsyt4sjvc-crypto/Wiki-Brain/blob/main/raw/2026-08-19-ai-token-economics-jevons-report.txt</x:v>
      </x:c>
      <x:c r="G12" s="43" t="str">
        <x:v>Formulas price ladder Vercel OpenRouter Google and sources</x:v>
      </x:c>
      <x:c r="H12" s="43" t="str">
        <x:v>Compiled with primary links</x:v>
      </x:c>
      <x:c r="I12" s="43" t="str">
        <x:v>Use original linked sources for current refresh</x:v>
      </x:c>
    </x:row>
    <x:row r="13">
      <x:c r="A13" s="19" t="str">
        <x:v>SRC-NVDA-Q2FY27-001</x:v>
      </x:c>
      <x:c r="B13" s="45" t="d">
        <x:v>2026-08-26T00:00:00.000Z</x:v>
      </x:c>
      <x:c r="C13" s="19" t="str">
        <x:v>NVIDIA</x:v>
      </x:c>
      <x:c r="D13" s="43" t="str">
        <x:v>Q2 FY2027 earnings call</x:v>
      </x:c>
      <x:c r="E13" s="43" t="str">
        <x:v>Transcript</x:v>
      </x:c>
      <x:c r="F13" s="43" t="str">
        <x:v>https://investor.nvidia.com/files/content_files/TRANSCRIPT_-NVIDIA-Corp-NVDA-US-Q2-2027-Earnings-Call-26-August-2026-5_00-PM-ET.pdf</x:v>
      </x:c>
      <x:c r="G13" s="43" t="str">
        <x:v>Hopper Blackwell and Rubin content per GW</x:v>
      </x:c>
      <x:c r="H13" s="43" t="str">
        <x:v>Primary read; scope qualified</x:v>
      </x:c>
      <x:c r="I13" s="43" t="str">
        <x:v>Exact original pinned October 8. Management revenue opportunity per stated GW; call does not explicitly define IT versus facility boundary for ladder. Not realized annual cloud revenue.</x:v>
      </x:c>
    </x:row>
    <x:row r="14">
      <x:c r="A14" s="19" t="str">
        <x:v>SRC-XAI-GS-RECAP-20260910</x:v>
      </x:c>
      <x:c r="B14" s="45" t="d">
        <x:v>2026-09-10T00:00:00.000Z</x:v>
      </x:c>
      <x:c r="C14" s="19" t="str">
        <x:v>User-supplied Goldman recap</x:v>
      </x:c>
      <x:c r="D14" s="43" t="str">
        <x:v>SpaceX CFO Communacopia recap</x:v>
      </x:c>
      <x:c r="E14" s="43" t="str">
        <x:v>Project message</x:v>
      </x:c>
      <x:c r="F14" s="43"/>
      <x:c r="G14" s="43" t="str">
        <x:v>Monetization guidance and capacity targets</x:v>
      </x:c>
      <x:c r="H14" s="43" t="str">
        <x:v>Attributed recap</x:v>
      </x:c>
      <x:c r="I14" s="43" t="str">
        <x:v>Raw recap in raw/2026-09-10-spacex-goldman-recap.md</x:v>
      </x:c>
    </x:row>
    <x:row r="15">
      <x:c r="A15" s="19" t="str">
        <x:v>SRC-XAI-GS-QA-20260910</x:v>
      </x:c>
      <x:c r="B15" s="45" t="d">
        <x:v>2026-09-10T00:00:00.000Z</x:v>
      </x:c>
      <x:c r="C15" s="19" t="str">
        <x:v>Bret Johnsen via Investing.com</x:v>
      </x:c>
      <x:c r="D15" s="43" t="str">
        <x:v>SpaceX Communacopia full Q&amp;A</x:v>
      </x:c>
      <x:c r="E15" s="43" t="str">
        <x:v>Published transcript</x:v>
      </x:c>
      <x:c r="F15" s="43" t="str">
        <x:v>https://www.investing.com/news/transcripts/spacex-at-goldman-sachs-communacopia--technology-conference-2026-compute-push-93CH-4896834</x:v>
      </x:c>
      <x:c r="G15" s="43" t="str">
        <x:v>Monetization and new hosting deal terms</x:v>
      </x:c>
      <x:c r="H15" s="43" t="str">
        <x:v>Management claims</x:v>
      </x:c>
      <x:c r="I15" s="43" t="str">
        <x:v>Use Q&amp;A; introductory summary misdates years; audio not reviewed</x:v>
      </x:c>
    </x:row>
    <x:row r="16">
      <x:c r="A16" s="19" t="str">
        <x:v>SRC-XAI-GS-EVENT-20260910</x:v>
      </x:c>
      <x:c r="B16" s="45" t="d">
        <x:v>2026-09-10T00:00:00.000Z</x:v>
      </x:c>
      <x:c r="C16" s="19" t="str">
        <x:v>SpaceX investor relations</x:v>
      </x:c>
      <x:c r="D16" s="43" t="str">
        <x:v>Goldman Sachs Communacopia event</x:v>
      </x:c>
      <x:c r="E16" s="43" t="str">
        <x:v>Issuer event page</x:v>
      </x:c>
      <x:c r="F16" s="43" t="str">
        <x:v>https://ir.spacex.com/events/event-details/2026/Goldman-Sachs-2026-Communacopia-and-Technology-Conference-2026-u70jsP31xi/default.aspx</x:v>
      </x:c>
      <x:c r="G16" s="43" t="str">
        <x:v>Event date and replay location</x:v>
      </x:c>
      <x:c r="H16" s="43" t="str">
        <x:v>Primary</x:v>
      </x:c>
      <x:c r="I16" s="43" t="str">
        <x:v>September 10 2026 12:25 PM PT; no financial figures on this page</x:v>
      </x:c>
    </x:row>
    <x:row r="17">
      <x:c r="A17" s="19" t="str">
        <x:v>SRC-ORCL-Q1FY27-20260910</x:v>
      </x:c>
      <x:c r="B17" s="45" t="d">
        <x:v>2026-09-10T00:00:00.000Z</x:v>
      </x:c>
      <x:c r="C17" s="19" t="str">
        <x:v>Oracle / SEC</x:v>
      </x:c>
      <x:c r="D17" s="43" t="str">
        <x:v>Q1 FY2027 earnings release and financial tables</x:v>
      </x:c>
      <x:c r="E17" s="43" t="str">
        <x:v>8-K Exhibit 99.1</x:v>
      </x:c>
      <x:c r="F17" s="43" t="str">
        <x:v>https://www.sec.gov/Archives/edgar/data/1341439/000119312526387905/orcl-ex99_1.htm</x:v>
      </x:c>
      <x:c r="G17" s="43" t="str">
        <x:v>Oracle OCI 2026-09-11 review</x:v>
      </x:c>
      <x:c r="H17" s="43" t="str">
        <x:v>primary_read</x:v>
      </x:c>
      <x:c r="I17" s="43" t="str">
        <x:v>Opening highlights; financial tables pp. 4-5: Cash Flows, Free Cash Flow, Net Cash Outlay; notes (2)-(3)</x:v>
      </x:c>
    </x:row>
    <x:row r="18">
      <x:c r="A18" s="19" t="str">
        <x:v>SRC-ORCL-10K-FY26</x:v>
      </x:c>
      <x:c r="B18" s="45" t="d">
        <x:v>2026-06-22T00:00:00.000Z</x:v>
      </x:c>
      <x:c r="C18" s="19" t="str">
        <x:v>Oracle / SEC</x:v>
      </x:c>
      <x:c r="D18" s="43" t="str">
        <x:v>FY2026 Form 10-K</x:v>
      </x:c>
      <x:c r="E18" s="43" t="str">
        <x:v>10-K</x:v>
      </x:c>
      <x:c r="F18" s="43" t="str">
        <x:v>https://www.sec.gov/Archives/edgar/data/1341439/000119312526277521/orcl-20260531.htm</x:v>
      </x:c>
      <x:c r="G18" s="43" t="str">
        <x:v>Oracle OCI 2026-09-11 review</x:v>
      </x:c>
      <x:c r="H18" s="43" t="str">
        <x:v>primary_read</x:v>
      </x:c>
      <x:c r="I18" s="43" t="str">
        <x:v>Note 4 p.81; Note 9 pp.88-90; MD&amp;A p.55; Note 1 p.72</x:v>
      </x:c>
    </x:row>
    <x:row r="19">
      <x:c r="A19" s="19" t="str">
        <x:v>SRC-ORCL-10Q-Q3FY26</x:v>
      </x:c>
      <x:c r="B19" s="45" t="d">
        <x:v>2026-03-11T00:00:00.000Z</x:v>
      </x:c>
      <x:c r="C19" s="19" t="str">
        <x:v>Oracle / SEC</x:v>
      </x:c>
      <x:c r="D19" s="43" t="str">
        <x:v>Q3 FY2026 Form 10-Q</x:v>
      </x:c>
      <x:c r="E19" s="43" t="str">
        <x:v>10-Q</x:v>
      </x:c>
      <x:c r="F19" s="43" t="str">
        <x:v>https://www.sec.gov/Archives/edgar/data/1341439/000119312526101045/orcl-20260228.htm</x:v>
      </x:c>
      <x:c r="G19" s="43" t="str">
        <x:v>Oracle OCI 2026-09-11 review</x:v>
      </x:c>
      <x:c r="H19" s="43" t="str">
        <x:v>primary_read</x:v>
      </x:c>
      <x:c r="I19" s="43" t="str">
        <x:v>Note 6 pp.12-14: Leases, Other Commitments and Certain Contingencies</x:v>
      </x:c>
    </x:row>
    <x:row r="20">
      <x:c r="A20" s="19" t="str">
        <x:v>SRC-ORCL-CEO-20260612</x:v>
      </x:c>
      <x:c r="B20" s="45" t="d">
        <x:v>2026-06-12T00:00:00.000Z</x:v>
      </x:c>
      <x:c r="C20" s="19" t="str">
        <x:v>Oracle</x:v>
      </x:c>
      <x:c r="D20" s="43" t="str">
        <x:v>From the Q4 Earnings Call: Driving Sustainable Growth Through Durable Differentiation</x:v>
      </x:c>
      <x:c r="E20" s="43" t="str">
        <x:v>issuer_prepared_remarks</x:v>
      </x:c>
      <x:c r="F20" s="43" t="str">
        <x:v>https://blogs.oracle.com/ceo/from-the-q4-earnings-call</x:v>
      </x:c>
      <x:c r="G20" s="43" t="str">
        <x:v>Oracle OCI 2026-09-11 review</x:v>
      </x:c>
      <x:c r="H20" s="43" t="str">
        <x:v>primary_read</x:v>
      </x:c>
      <x:c r="I20" s="43" t="str">
        <x:v>Enabling scale while growing profitability; Accelerating delivery; five largest sites</x:v>
      </x:c>
    </x:row>
    <x:row r="21">
      <x:c r="A21" s="19" t="str">
        <x:v>SRC-ORCL-ESG-FY25</x:v>
      </x:c>
      <x:c r="B21" s="45" t="str">
        <x:v>2026-02</x:v>
      </x:c>
      <x:c r="C21" s="19" t="str">
        <x:v>Oracle</x:v>
      </x:c>
      <x:c r="D21" s="43" t="str">
        <x:v>Environmental and Social Impact FY25 Datasheet Version 6</x:v>
      </x:c>
      <x:c r="E21" s="43" t="str">
        <x:v>sustainability_report</x:v>
      </x:c>
      <x:c r="F21" s="43" t="str">
        <x:v>https://www.oracle.com/it/a/ocom/docs/social-impact-datasheet.pdf</x:v>
      </x:c>
      <x:c r="G21" s="43" t="str">
        <x:v>Oracle OCI 2026-09-11 review</x:v>
      </x:c>
      <x:c r="H21" s="43" t="str">
        <x:v>primary_read</x:v>
      </x:c>
      <x:c r="I21" s="43" t="str">
        <x:v>p.3 Energy and Renewables; p.6 footnotes vii-ix</x:v>
      </x:c>
    </x:row>
    <x:row r="22">
      <x:c r="A22" s="19" t="str">
        <x:v>SRC-ORCL-CARBON-20250630</x:v>
      </x:c>
      <x:c r="B22" s="45" t="d">
        <x:v>2025-06-30T00:00:00.000Z</x:v>
      </x:c>
      <x:c r="C22" s="19" t="str">
        <x:v>Oracle</x:v>
      </x:c>
      <x:c r="D22" s="43" t="str">
        <x:v>OCI Carbon Emissions Analysis: power-based calculations</x:v>
      </x:c>
      <x:c r="E22" s="43" t="str">
        <x:v>issuer_methodology</x:v>
      </x:c>
      <x:c r="F22" s="43" t="str">
        <x:v>https://blogs.oracle.com/sustainability/oci-carbon-emissions-power-based-calculations</x:v>
      </x:c>
      <x:c r="G22" s="43" t="str">
        <x:v>Oracle OCI 2026-09-11 review</x:v>
      </x:c>
      <x:c r="H22" s="43" t="str">
        <x:v>primary_read</x:v>
      </x:c>
      <x:c r="I22" s="43" t="str">
        <x:v>What are power-based emissions; reporting experience</x:v>
      </x:c>
    </x:row>
    <x:row r="23">
      <x:c r="A23" s="19" t="str">
        <x:v>SRC-ORCL-CARBON-202302</x:v>
      </x:c>
      <x:c r="B23" s="45" t="str">
        <x:v>2023-02</x:v>
      </x:c>
      <x:c r="C23" s="19" t="str">
        <x:v>Oracle</x:v>
      </x:c>
      <x:c r="D23" s="43" t="str">
        <x:v>Technical Carbon Calculation Guidance v1.0</x:v>
      </x:c>
      <x:c r="E23" s="43" t="str">
        <x:v>technical_brief</x:v>
      </x:c>
      <x:c r="F23" s="43" t="str">
        <x:v>https://www.oracle.com/a/ocom/docs/corporate/technical-carbon-calculation-guidance.pdf</x:v>
      </x:c>
      <x:c r="G23" s="43" t="str">
        <x:v>Oracle OCI 2026-09-11 review</x:v>
      </x:c>
      <x:c r="H23" s="43" t="str">
        <x:v>primary_read</x:v>
      </x:c>
      <x:c r="I23" s="43" t="str">
        <x:v>pp.4-6 carbon boundary and calculation methodology</x:v>
      </x:c>
    </x:row>
    <x:row r="24">
      <x:c r="A24" s="19" t="str">
        <x:v>SRC-ORCL-GREEN-CLOUD-20260911</x:v>
      </x:c>
      <x:c r="B24" s="45" t="d">
        <x:v>2026-09-11T00:00:00.000Z</x:v>
      </x:c>
      <x:c r="C24" s="19" t="str">
        <x:v>Oracle</x:v>
      </x:c>
      <x:c r="D24" s="43" t="str">
        <x:v>Oracle Cloud sustainability</x:v>
      </x:c>
      <x:c r="E24" s="43" t="str">
        <x:v>issuer_webpage</x:v>
      </x:c>
      <x:c r="F24" s="43" t="str">
        <x:v>https://www.oracle.com/sustainability/green-cloud/</x:v>
      </x:c>
      <x:c r="G24" s="43" t="str">
        <x:v>Oracle OCI 2026-09-11 review</x:v>
      </x:c>
      <x:c r="H24" s="43" t="str">
        <x:v>primary_read</x:v>
      </x:c>
      <x:c r="I24" s="43" t="str">
        <x:v>Clean cloud; Measurement; linked datasheets</x:v>
      </x:c>
    </x:row>
    <x:row r="25">
      <x:c r="A25" s="19" t="str">
        <x:v>SRC-OPENAI-ORACLE-20250722</x:v>
      </x:c>
      <x:c r="B25" s="45" t="d">
        <x:v>2025-07-22T00:00:00.000Z</x:v>
      </x:c>
      <x:c r="C25" s="19" t="str">
        <x:v>OpenAI</x:v>
      </x:c>
      <x:c r="D25" s="43" t="str">
        <x:v>Stargate advances with 4.5 GW partnership with Oracle</x:v>
      </x:c>
      <x:c r="E25" s="43" t="str">
        <x:v>counterparty_announcement</x:v>
      </x:c>
      <x:c r="F25" s="43" t="str">
        <x:v>https://openai.com/index/stargate-advances-with-partnership-with-oracle/</x:v>
      </x:c>
      <x:c r="G25" s="43" t="str">
        <x:v>Oracle OCI 2026-09-11 review</x:v>
      </x:c>
      <x:c r="H25" s="43" t="str">
        <x:v>primary_read</x:v>
      </x:c>
      <x:c r="I25" s="43" t="str">
        <x:v>Opening agreement; Abilene initial workloads</x:v>
      </x:c>
    </x:row>
    <x:row r="26">
      <x:c r="A26" s="19" t="str">
        <x:v>SRC-OPENAI-STARGATE-20250923</x:v>
      </x:c>
      <x:c r="B26" s="45" t="d">
        <x:v>2025-09-23T00:00:00.000Z</x:v>
      </x:c>
      <x:c r="C26" s="19" t="str">
        <x:v>OpenAI</x:v>
      </x:c>
      <x:c r="D26" s="43" t="str">
        <x:v>Five new Stargate sites</x:v>
      </x:c>
      <x:c r="E26" s="43" t="str">
        <x:v>counterparty_announcement</x:v>
      </x:c>
      <x:c r="F26" s="43" t="str">
        <x:v>https://openai.com/index/five-new-stargate-sites/</x:v>
      </x:c>
      <x:c r="G26" s="43" t="str">
        <x:v>Oracle OCI 2026-09-11 review</x:v>
      </x:c>
      <x:c r="H26" s="43" t="str">
        <x:v>primary_read</x:v>
      </x:c>
      <x:c r="I26" s="43" t="str">
        <x:v>Oracle partnership paragraphs; Wisconsin update</x:v>
      </x:c>
    </x:row>
    <x:row r="27">
      <x:c r="A27" s="19" t="str">
        <x:v>SRC-CRUSOE-ABILENE-20250521</x:v>
      </x:c>
      <x:c r="B27" s="45" t="d">
        <x:v>2025-05-21T00:00:00.000Z</x:v>
      </x:c>
      <x:c r="C27" s="19" t="str">
        <x:v>Crusoe</x:v>
      </x:c>
      <x:c r="D27" s="43" t="str">
        <x:v>Second phase of USD15 billion Abilene joint venture</x:v>
      </x:c>
      <x:c r="E27" s="43" t="str">
        <x:v>counterparty_project_financing</x:v>
      </x:c>
      <x:c r="F27" s="43" t="str">
        <x:v>https://www.crusoe.ai/resources/newsroom/crusoe-blue-owl-capital-and-primary-digital-infrastructure-enter-joint-venture</x:v>
      </x:c>
      <x:c r="G27" s="43" t="str">
        <x:v>Oracle OCI 2026-09-11 review</x:v>
      </x:c>
      <x:c r="H27" s="43" t="str">
        <x:v>primary_read</x:v>
      </x:c>
      <x:c r="I27" s="43" t="str">
        <x:v>Opening JV terms; phase schedule; cooling design</x:v>
      </x:c>
    </x:row>
    <x:row r="28">
      <x:c r="A28" s="19" t="str">
        <x:v>SRC-ORCL-REVOLVER-20260306</x:v>
      </x:c>
      <x:c r="B28" s="45" t="d">
        <x:v>2026-03-11T00:00:00.000Z</x:v>
      </x:c>
      <x:c r="C28" s="19" t="str">
        <x:v>Oracle / SEC</x:v>
      </x:c>
      <x:c r="D28" s="43" t="str">
        <x:v>USD10 billion revolving credit agreement dated March 6 2026</x:v>
      </x:c>
      <x:c r="E28" s="43" t="str">
        <x:v>10-Q Exhibit 10.17</x:v>
      </x:c>
      <x:c r="F28" s="43" t="str">
        <x:v>https://www.sec.gov/Archives/edgar/data/1341439/000119312526101045/orcl-ex10_17.htm</x:v>
      </x:c>
      <x:c r="G28" s="43" t="str">
        <x:v>Oracle OCI 2026-09-11 review</x:v>
      </x:c>
      <x:c r="H28" s="43" t="str">
        <x:v>primary_read</x:v>
      </x:c>
      <x:c r="I28" s="43" t="str">
        <x:v>Cover; sections 2.01, 2.08, 2.21 and 6.02</x:v>
      </x:c>
    </x:row>
    <x:row r="29">
      <x:c r="A29" s="19" t="str">
        <x:v>SRC-ORCL-Q1FY27-EVENT</x:v>
      </x:c>
      <x:c r="B29" s="45" t="d">
        <x:v>2026-09-10T00:00:00.000Z</x:v>
      </x:c>
      <x:c r="C29" s="19" t="str">
        <x:v>Oracle</x:v>
      </x:c>
      <x:c r="D29" s="43" t="str">
        <x:v>Q1 FY27 earnings event</x:v>
      </x:c>
      <x:c r="E29" s="43" t="str">
        <x:v>issuer_event</x:v>
      </x:c>
      <x:c r="F29" s="43" t="str">
        <x:v>https://investor.oracle.com/events-and-presentations/event-details/2026/Q1-FY27-Earnings/default.aspx</x:v>
      </x:c>
      <x:c r="G29" s="43" t="str">
        <x:v>Oracle OCI 2026-09-11 review</x:v>
      </x:c>
      <x:c r="H29" s="43" t="str">
        <x:v>metadata_read_transcript_unavailable</x:v>
      </x:c>
      <x:c r="I29" s="43" t="str">
        <x:v>Event date and webcast link; linked player returned no readable transcript</x:v>
      </x:c>
    </x:row>
    <x:row r="30">
      <x:c r="A30" s="19" t="str">
        <x:v>SRC-CRWV-10K-FY25</x:v>
      </x:c>
      <x:c r="B30" s="45" t="d">
        <x:v>2026-03-02T00:00:00.000Z</x:v>
      </x:c>
      <x:c r="C30" s="19" t="str">
        <x:v>CoreWeave / SEC</x:v>
      </x:c>
      <x:c r="D30" s="43" t="str">
        <x:v>FY2025 Form 10-K</x:v>
      </x:c>
      <x:c r="E30" s="43" t="str">
        <x:v>10-K</x:v>
      </x:c>
      <x:c r="F30" s="43" t="str">
        <x:v>https://www.sec.gov/Archives/edgar/data/1769628/000176962826000104/crwv-20251231.htm</x:v>
      </x:c>
      <x:c r="G30" s="43" t="str">
        <x:v>CoreWeave 2026-09-12 review</x:v>
      </x:c>
      <x:c r="H30" s="43" t="str">
        <x:v>primary_read</x:v>
      </x:c>
      <x:c r="I30" s="43" t="str">
        <x:v>Item 1 pp.5-11; revenue pp.97-102; leases pp.111-112; debt pp.113-116</x:v>
      </x:c>
    </x:row>
    <x:row r="31">
      <x:c r="A31" s="19" t="str">
        <x:v>SRC-CRWV-10Q-Q2FY26</x:v>
      </x:c>
      <x:c r="B31" s="45" t="d">
        <x:v>2026-08-12T00:00:00.000Z</x:v>
      </x:c>
      <x:c r="C31" s="19" t="str">
        <x:v>CoreWeave / SEC</x:v>
      </x:c>
      <x:c r="D31" s="43" t="str">
        <x:v>Q2 2026 Form 10-Q</x:v>
      </x:c>
      <x:c r="E31" s="43" t="str">
        <x:v>10-Q</x:v>
      </x:c>
      <x:c r="F31" s="43" t="str">
        <x:v>https://www.sec.gov/Archives/edgar/data/1769628/000176962826000366/crwv-20260630.htm</x:v>
      </x:c>
      <x:c r="G31" s="43" t="str">
        <x:v>CoreWeave 2026-09-12 review</x:v>
      </x:c>
      <x:c r="H31" s="43" t="str">
        <x:v>primary_read</x:v>
      </x:c>
      <x:c r="I31" s="43" t="str">
        <x:v>Note 2 pp.14-15; Note 3 pp.15-17; Note 5 p.20; Note 9 pp.23-25; Note 10 pp.26-31; MD&amp;A pp.42-47</x:v>
      </x:c>
    </x:row>
    <x:row r="32">
      <x:c r="A32" s="19" t="str">
        <x:v>SRC-CRWV-Q1FY26-ER</x:v>
      </x:c>
      <x:c r="B32" s="45" t="d">
        <x:v>2026-05-07T00:00:00.000Z</x:v>
      </x:c>
      <x:c r="C32" s="19" t="str">
        <x:v>CoreWeave</x:v>
      </x:c>
      <x:c r="D32" s="43" t="str">
        <x:v>CoreWeave Reports Strong First Quarter 2026 Results</x:v>
      </x:c>
      <x:c r="E32" s="43" t="str">
        <x:v>issuer_earnings_release</x:v>
      </x:c>
      <x:c r="F32" s="43" t="str">
        <x:v>https://investors.coreweave.com/news/news-details/2026/CoreWeave-Reports-Strong-First-Quarter-2026-Results/default.aspx</x:v>
      </x:c>
      <x:c r="G32" s="43" t="str">
        <x:v>CoreWeave opening power and contracts</x:v>
      </x:c>
      <x:c r="H32" s="43" t="str">
        <x:v>primary_read</x:v>
      </x:c>
      <x:c r="I32" s="43" t="str">
        <x:v>Financial and power highlights; DDTL 4.0</x:v>
      </x:c>
    </x:row>
    <x:row r="33">
      <x:c r="A33" s="19" t="str">
        <x:v>SRC-CRWV-Q2FY26-ER</x:v>
      </x:c>
      <x:c r="B33" s="45" t="d">
        <x:v>2026-08-11T00:00:00.000Z</x:v>
      </x:c>
      <x:c r="C33" s="19" t="str">
        <x:v>CoreWeave</x:v>
      </x:c>
      <x:c r="D33" s="43" t="str">
        <x:v>CoreWeave Reports Strong Second Quarter 2026 Results</x:v>
      </x:c>
      <x:c r="E33" s="43" t="str">
        <x:v>issuer_earnings_release</x:v>
      </x:c>
      <x:c r="F33" s="43" t="str">
        <x:v>https://investors.coreweave.com/news/news-details/2026/CoreWeave-Reports-Strong-Second-Quarter-2026-Results/</x:v>
      </x:c>
      <x:c r="G33" s="43" t="str">
        <x:v>CoreWeave Q2 revenue power and backlog</x:v>
      </x:c>
      <x:c r="H33" s="43" t="str">
        <x:v>primary_read</x:v>
      </x:c>
      <x:c r="I33" s="43" t="str">
        <x:v>Financial highlights; backlog footnote; active and contracted power</x:v>
      </x:c>
    </x:row>
    <x:row r="34">
      <x:c r="A34" s="19" t="str">
        <x:v>SRC-CRWV-DDTL55-8K</x:v>
      </x:c>
      <x:c r="B34" s="45" t="d">
        <x:v>2026-08-10T00:00:00.000Z</x:v>
      </x:c>
      <x:c r="C34" s="19" t="str">
        <x:v>CoreWeave / SEC</x:v>
      </x:c>
      <x:c r="D34" s="43" t="str">
        <x:v>DDTL 5.5 Facility Form 8-K</x:v>
      </x:c>
      <x:c r="E34" s="43" t="str">
        <x:v>8-K</x:v>
      </x:c>
      <x:c r="F34" s="43" t="str">
        <x:v>https://www.sec.gov/Archives/edgar/data/1769628/000176962826000357/crwv-20260807.htm</x:v>
      </x:c>
      <x:c r="G34" s="43" t="str">
        <x:v>CoreWeave DDTL 5.5</x:v>
      </x:c>
      <x:c r="H34" s="43" t="str">
        <x:v>primary_read</x:v>
      </x:c>
      <x:c r="I34" s="43" t="str">
        <x:v>Item 1.01 amount use maturity pricing guarantees collateral and DSCR</x:v>
      </x:c>
    </x:row>
    <x:row r="35">
      <x:c r="A35" s="19" t="str">
        <x:v>SRC-CRWV-DDTL55-EX10</x:v>
      </x:c>
      <x:c r="B35" s="45" t="d">
        <x:v>2026-08-07T00:00:00.000Z</x:v>
      </x:c>
      <x:c r="C35" s="19" t="str">
        <x:v>CoreWeave / SEC</x:v>
      </x:c>
      <x:c r="D35" s="43" t="str">
        <x:v>DDTL 5.5 Credit Agreement</x:v>
      </x:c>
      <x:c r="E35" s="43" t="str">
        <x:v>8-K Exhibit 10.1</x:v>
      </x:c>
      <x:c r="F35" s="43" t="str">
        <x:v>https://www.sec.gov/Archives/edgar/data/1769628/000176962826000357/ex101creditagreement.htm</x:v>
      </x:c>
      <x:c r="G35" s="43" t="str">
        <x:v>CoreWeave DDTL 5.5 terms</x:v>
      </x:c>
      <x:c r="H35" s="43" t="str">
        <x:v>primary_read</x:v>
      </x:c>
      <x:c r="I35" s="43" t="str">
        <x:v>Definitions and sections 2.01 2.06 2.08-2.11</x:v>
      </x:c>
    </x:row>
    <x:row r="36">
      <x:c r="A36" s="19" t="str">
        <x:v>SRC-CRWV-DDTL55-GUARANTEE</x:v>
      </x:c>
      <x:c r="B36" s="45" t="d">
        <x:v>2026-08-07T00:00:00.000Z</x:v>
      </x:c>
      <x:c r="C36" s="19" t="str">
        <x:v>CoreWeave / SEC</x:v>
      </x:c>
      <x:c r="D36" s="43" t="str">
        <x:v>DDTL 5.5 Parent Guarantee and Pledge Agreement</x:v>
      </x:c>
      <x:c r="E36" s="43" t="str">
        <x:v>8-K Exhibit 10.2</x:v>
      </x:c>
      <x:c r="F36" s="43" t="str">
        <x:v>https://www.sec.gov/Archives/edgar/data/1769628/000176962826000357/ex102parentguarantee.htm</x:v>
      </x:c>
      <x:c r="G36" s="43" t="str">
        <x:v>CoreWeave DDTL 5.5 guarantee</x:v>
      </x:c>
      <x:c r="H36" s="43" t="str">
        <x:v>primary_read</x:v>
      </x:c>
      <x:c r="I36" s="43" t="str">
        <x:v>Section 2.1 unconditional and irrevocable guarantee</x:v>
      </x:c>
    </x:row>
    <x:row r="37">
      <x:c r="A37" s="19" t="str">
        <x:v>SRC-CRWV-DDTL50-20260518</x:v>
      </x:c>
      <x:c r="B37" s="45" t="d">
        <x:v>2026-05-18T00:00:00.000Z</x:v>
      </x:c>
      <x:c r="C37" s="19" t="str">
        <x:v>CoreWeave</x:v>
      </x:c>
      <x:c r="D37" s="43" t="str">
        <x:v>CoreWeave Closes USD3.1 Billion Loan Facility</x:v>
      </x:c>
      <x:c r="E37" s="43" t="str">
        <x:v>issuer_financing_release</x:v>
      </x:c>
      <x:c r="F37" s="43" t="str">
        <x:v>https://investors.coreweave.com/news/news-details/2026/CoreWeave-Closes-3-1-Billion-Loan-Facility-Expanding-Access-to-Public-Markets-for-GPU-Backed-Financing/</x:v>
      </x:c>
      <x:c r="G37" s="43" t="str">
        <x:v>CoreWeave DDTL 5.0</x:v>
      </x:c>
      <x:c r="H37" s="43" t="str">
        <x:v>primary_read</x:v>
      </x:c>
      <x:c r="I37" s="43" t="str">
        <x:v>Two non-investment-grade customer contracts; SOFR plus 4.50%; approximately 5.5 years</x:v>
      </x:c>
    </x:row>
    <x:row r="38">
      <x:c r="A38" s="19" t="str">
        <x:v>SRC-CRWV-META-20260409</x:v>
      </x:c>
      <x:c r="B38" s="45" t="d">
        <x:v>2026-04-09T00:00:00.000Z</x:v>
      </x:c>
      <x:c r="C38" s="19" t="str">
        <x:v>CoreWeave</x:v>
      </x:c>
      <x:c r="D38" s="43" t="str">
        <x:v>CoreWeave and Meta Announce USD21 Billion Expanded AI Infrastructure Agreement</x:v>
      </x:c>
      <x:c r="E38" s="43" t="str">
        <x:v>issuer_customer_agreement</x:v>
      </x:c>
      <x:c r="F38" s="43" t="str">
        <x:v>https://investors.coreweave.com/news/news-details/2026/CoreWeave-and-Meta-Announce-21-Billion-Expanded-AI-Infrastructure-Agreement/default.aspx</x:v>
      </x:c>
      <x:c r="G38" s="43" t="str">
        <x:v>CoreWeave Meta agreement</x:v>
      </x:c>
      <x:c r="H38" s="43" t="str">
        <x:v>primary_read</x:v>
      </x:c>
      <x:c r="I38" s="43" t="str">
        <x:v>Dedicated multi-location capacity through December 2032; initial Vera Rubin deployments</x:v>
      </x:c>
    </x:row>
    <x:row r="39">
      <x:c r="A39" s="19" t="str">
        <x:v>SRC-NBIS-20F-FY25</x:v>
      </x:c>
      <x:c r="B39" s="45" t="d">
        <x:v>2026-04-30T00:00:00.000Z</x:v>
      </x:c>
      <x:c r="C39" s="19" t="str">
        <x:v>Nebius Group N.V.</x:v>
      </x:c>
      <x:c r="D39" s="43" t="str">
        <x:v>FY2025 Form 20-F</x:v>
      </x:c>
      <x:c r="E39" s="43" t="str">
        <x:v>20-F</x:v>
      </x:c>
      <x:c r="F39" s="43" t="str">
        <x:v>https://www.sec.gov/Archives/edgar/data/1513845/000110465926052948/nbis-20251231x20f.htm</x:v>
      </x:c>
      <x:c r="G39" s="43" t="str">
        <x:v>nebius; revenue_per_mw; contract_economics</x:v>
      </x:c>
      <x:c r="H39" s="43" t="str">
        <x:v>active</x:v>
      </x:c>
      <x:c r="I39" s="43" t="str">
        <x:v>Item 4.B capacity definitions; Item 5.E off-balance-sheet arrangements; Note 2 revenue F-17–F-18; Note 11 commitments; exhibit index</x:v>
      </x:c>
    </x:row>
    <x:row r="40">
      <x:c r="A40" s="19" t="str">
        <x:v>SRC-NBIS-Q2FY26-FS</x:v>
      </x:c>
      <x:c r="B40" s="45" t="d">
        <x:v>2026-08-12T00:00:00.000Z</x:v>
      </x:c>
      <x:c r="C40" s="19" t="str">
        <x:v>Nebius Group N.V.</x:v>
      </x:c>
      <x:c r="D40" s="43" t="str">
        <x:v>Q2/H1 2026 financial statements</x:v>
      </x:c>
      <x:c r="E40" s="43" t="str">
        <x:v>6-K_exhibit</x:v>
      </x:c>
      <x:c r="F40" s="43" t="str">
        <x:v>https://www.sec.gov/Archives/edgar/data/1513845/000110465926094844/nbis-20260812xex99d2.htm</x:v>
      </x:c>
      <x:c r="G40" s="43" t="str">
        <x:v>nebius; revenue_per_mw; contract_economics</x:v>
      </x:c>
      <x:c r="H40" s="43" t="str">
        <x:v>active</x:v>
      </x:c>
      <x:c r="I40" s="43" t="str">
        <x:v>Cash-flow statement; Note 2 F-10; Note 4 F-19; Note 8 F-24–F-25; Note 11 F-26; Notes 14–16 F-31–F-34</x:v>
      </x:c>
    </x:row>
    <x:row r="41">
      <x:c r="A41" s="19" t="str">
        <x:v>SRC-NBIS-Q2FY26-MDNA</x:v>
      </x:c>
      <x:c r="B41" s="45" t="d">
        <x:v>2026-08-12T00:00:00.000Z</x:v>
      </x:c>
      <x:c r="C41" s="19" t="str">
        <x:v>Nebius Group N.V.</x:v>
      </x:c>
      <x:c r="D41" s="43" t="str">
        <x:v>Q2/H1 2026 management discussion</x:v>
      </x:c>
      <x:c r="E41" s="43" t="str">
        <x:v>6-K_exhibit</x:v>
      </x:c>
      <x:c r="F41" s="43" t="str">
        <x:v>https://www.sec.gov/Archives/edgar/data/1513845/000110465926094844/nbis-20260812xex99d1.htm</x:v>
      </x:c>
      <x:c r="G41" s="43" t="str">
        <x:v>nebius; revenue_per_mw; contract_economics</x:v>
      </x:c>
      <x:c r="H41" s="43" t="str">
        <x:v>active</x:v>
      </x:c>
      <x:c r="I41" s="43" t="str">
        <x:v>p.4 revenue table; liquidity and capital resources</x:v>
      </x:c>
    </x:row>
    <x:row r="42">
      <x:c r="A42" s="19" t="str">
        <x:v>SRC-NBIS-Q2FY26-ER</x:v>
      </x:c>
      <x:c r="B42" s="45" t="d">
        <x:v>2026-08-12T00:00:00.000Z</x:v>
      </x:c>
      <x:c r="C42" s="19" t="str">
        <x:v>Nebius Group N.V.</x:v>
      </x:c>
      <x:c r="D42" s="43" t="str">
        <x:v>Q2 2026 earnings release</x:v>
      </x:c>
      <x:c r="E42" s="43" t="str">
        <x:v>earnings_release</x:v>
      </x:c>
      <x:c r="F42" s="43" t="str">
        <x:v>https://assets.nebius.com/assets/72a8c258-bbb7-4df7-ab9d-8698f6cb88fc/PR.pdf</x:v>
      </x:c>
      <x:c r="G42" s="43" t="str">
        <x:v>nebius; revenue_per_mw; contract_economics</x:v>
      </x:c>
      <x:c r="H42" s="43" t="str">
        <x:v>active</x:v>
      </x:c>
      <x:c r="I42" s="43" t="str">
        <x:v>Consolidated results and cash-flow tables, 10-page release</x:v>
      </x:c>
    </x:row>
    <x:row r="43">
      <x:c r="A43" s="19" t="str">
        <x:v>SRC-NBIS-Q2FY26-LETTER</x:v>
      </x:c>
      <x:c r="B43" s="45" t="d">
        <x:v>2026-08-12T00:00:00.000Z</x:v>
      </x:c>
      <x:c r="C43" s="19" t="str">
        <x:v>Nebius Group N.V.</x:v>
      </x:c>
      <x:c r="D43" s="43" t="str">
        <x:v>Q2 2026 shareholder letter</x:v>
      </x:c>
      <x:c r="E43" s="43" t="str">
        <x:v>shareholder_letter</x:v>
      </x:c>
      <x:c r="F43" s="43" t="str">
        <x:v>https://assets.nebius.com/assets/a6ecfd85-a6cb-4967-8ef7-9a25bd261f9c/SHLQ226.pdf</x:v>
      </x:c>
      <x:c r="G43" s="43" t="str">
        <x:v>nebius; revenue_per_mw; contract_economics</x:v>
      </x:c>
      <x:c r="H43" s="43" t="str">
        <x:v>active</x:v>
      </x:c>
      <x:c r="I43" s="43" t="str">
        <x:v>pp.2–4 pricing and deal economics; p.5 capacity; pp.10–11 financing</x:v>
      </x:c>
    </x:row>
    <x:row r="44">
      <x:c r="A44" s="19" t="str">
        <x:v>SRC-NBIS-ESG-FY25</x:v>
      </x:c>
      <x:c r="B44" s="45" t="d">
        <x:v>2026-07-30T00:00:00.000Z</x:v>
      </x:c>
      <x:c r="C44" s="19" t="str">
        <x:v>Nebius Group N.V.</x:v>
      </x:c>
      <x:c r="D44" s="43" t="str">
        <x:v>2025 Sustainability Report</x:v>
      </x:c>
      <x:c r="E44" s="43" t="str">
        <x:v>sustainability_report</x:v>
      </x:c>
      <x:c r="F44" s="43" t="str">
        <x:v>https://assets.nebius.com/assets/79cf11ba-bb23-4cb8-802e-21dc155be31c/Nebius%202025%20Sustainability%20Report.pdf</x:v>
      </x:c>
      <x:c r="G44" s="43" t="str">
        <x:v>nebius; revenue_per_mw; contract_economics</x:v>
      </x:c>
      <x:c r="H44" s="43" t="str">
        <x:v>active</x:v>
      </x:c>
      <x:c r="I44" s="43" t="str">
        <x:v>p.14 PUE panel and footnotes 1–6; publication date confirmed at nebius.com/sustainability</x:v>
      </x:c>
    </x:row>
    <x:row r="45">
      <x:c r="A45" s="19" t="str">
        <x:v>SRC-NBIS-MSFT-SOW</x:v>
      </x:c>
      <x:c r="B45" s="45" t="d">
        <x:v>2026-04-30T00:00:00.000Z</x:v>
      </x:c>
      <x:c r="C45" s="19" t="str">
        <x:v>Nebius Group N.V.</x:v>
      </x:c>
      <x:c r="D45" s="43" t="str">
        <x:v>Microsoft SOW dated September 7 2025, Exhibit 4.4</x:v>
      </x:c>
      <x:c r="E45" s="43" t="str">
        <x:v>contract_exhibit</x:v>
      </x:c>
      <x:c r="F45" s="43" t="str">
        <x:v>https://www.sec.gov/Archives/edgar/data/1513845/000110465926052948/nbis-20251231xex4d4.htm</x:v>
      </x:c>
      <x:c r="G45" s="43" t="str">
        <x:v>nebius; revenue_per_mw; contract_economics</x:v>
      </x:c>
      <x:c r="H45" s="43" t="str">
        <x:v>active</x:v>
      </x:c>
      <x:c r="I45" s="43" t="str">
        <x:v>Sections 2 acceptance and delivery; 3.1 pricing; 3.2 payment; 3.3 termination</x:v>
      </x:c>
    </x:row>
    <x:row r="46">
      <x:c r="A46" s="19" t="str">
        <x:v>SRC-NBIS-MSFT-ADDENDUM</x:v>
      </x:c>
      <x:c r="B46" s="45" t="d">
        <x:v>2026-04-30T00:00:00.000Z</x:v>
      </x:c>
      <x:c r="C46" s="19" t="str">
        <x:v>Nebius Group N.V.</x:v>
      </x:c>
      <x:c r="D46" s="43" t="str">
        <x:v>Microsoft January 21 2026 addendum, Exhibit 4.5</x:v>
      </x:c>
      <x:c r="E46" s="43" t="str">
        <x:v>contract_exhibit</x:v>
      </x:c>
      <x:c r="F46" s="43" t="str">
        <x:v>https://www.sec.gov/Archives/edgar/data/1513845/000110465926052948/nbis-20251231xex4d5.htm</x:v>
      </x:c>
      <x:c r="G46" s="43" t="str">
        <x:v>nebius; revenue_per_mw; contract_economics</x:v>
      </x:c>
      <x:c r="H46" s="43" t="str">
        <x:v>active</x:v>
      </x:c>
      <x:c r="I46" s="43" t="str">
        <x:v>Section 2(d) additional tranches no upfront payment; 2(e) monthly GPU fee formula</x:v>
      </x:c>
    </x:row>
    <x:row r="47">
      <x:c r="A47" s="19" t="str">
        <x:v>SRC-NBIS-META-CONTRACT</x:v>
      </x:c>
      <x:c r="B47" s="45" t="d">
        <x:v>2026-04-30T00:00:00.000Z</x:v>
      </x:c>
      <x:c r="C47" s="19" t="str">
        <x:v>Nebius Group N.V.</x:v>
      </x:c>
      <x:c r="D47" s="43" t="str">
        <x:v>Meta March 13 2026 infrastructure agreement, Exhibit 4.3</x:v>
      </x:c>
      <x:c r="E47" s="43" t="str">
        <x:v>contract_exhibit</x:v>
      </x:c>
      <x:c r="F47" s="43" t="str">
        <x:v>https://www.sec.gov/Archives/edgar/data/1513845/000110465926052948/nbis-20251231xex4d3.htm</x:v>
      </x:c>
      <x:c r="G47" s="43" t="str">
        <x:v>nebius; revenue_per_mw; contract_economics</x:v>
      </x:c>
      <x:c r="H47" s="43" t="str">
        <x:v>active</x:v>
      </x:c>
      <x:c r="I47" s="43" t="str">
        <x:v>Sections 2.2 affiliate orders; 14.9 force majeure; 15 financing matters</x:v>
      </x:c>
    </x:row>
    <x:row r="48">
      <x:c r="A48" s="19" t="str">
        <x:v>SRC-NBIS-META-20260316</x:v>
      </x:c>
      <x:c r="B48" s="45" t="d">
        <x:v>2026-03-16T00:00:00.000Z</x:v>
      </x:c>
      <x:c r="C48" s="19" t="str">
        <x:v>Nebius Group N.V.</x:v>
      </x:c>
      <x:c r="D48" s="43" t="str">
        <x:v>New AI infrastructure agreement with Meta</x:v>
      </x:c>
      <x:c r="E48" s="43" t="str">
        <x:v>issuer_press_release</x:v>
      </x:c>
      <x:c r="F48" s="43" t="str">
        <x:v>https://www.businesswire.com/news/home/20260316469367/en/Nebius-Signs-New-AI-Infrastructure-Agreement-with-Meta</x:v>
      </x:c>
      <x:c r="G48" s="43" t="str">
        <x:v>nebius; revenue_per_mw; contract_economics</x:v>
      </x:c>
      <x:c r="H48" s="43" t="str">
        <x:v>active</x:v>
      </x:c>
      <x:c r="I48" s="43" t="str">
        <x:v>Opening three substantive paragraphs</x:v>
      </x:c>
    </x:row>
    <x:row r="49">
      <x:c r="A49" s="19" t="str">
        <x:v>SRC-NBIS-BLOOM-CONTRACT</x:v>
      </x:c>
      <x:c r="B49" s="45" t="d">
        <x:v>2026-05-20T00:00:00.000Z</x:v>
      </x:c>
      <x:c r="C49" s="19" t="str">
        <x:v>Nebius Group N.V.</x:v>
      </x:c>
      <x:c r="D49" s="43" t="str">
        <x:v>Q1 financials subsequent event: Bloom fuel-cell capacity agreement</x:v>
      </x:c>
      <x:c r="E49" s="43" t="str">
        <x:v>6-K_exhibit</x:v>
      </x:c>
      <x:c r="F49" s="43" t="str">
        <x:v>https://www.sec.gov/Archives/edgar/data/1513845/000110465926064092/nbis-20260331xex99d2.htm</x:v>
      </x:c>
      <x:c r="G49" s="43" t="str">
        <x:v>nebius; revenue_per_mw; contract_economics</x:v>
      </x:c>
      <x:c r="H49" s="43" t="str">
        <x:v>active</x:v>
      </x:c>
      <x:c r="I49" s="43" t="str">
        <x:v>Note 16 Subsequent Events, F-30, Fuel Cell Capacity Agreement</x:v>
      </x:c>
    </x:row>
    <x:row r="50">
      <x:c r="A50" s="19" t="str">
        <x:v>SRC-NBIS-ABS-20260717</x:v>
      </x:c>
      <x:c r="B50" s="45" t="d">
        <x:v>2026-07-17T00:00:00.000Z</x:v>
      </x:c>
      <x:c r="C50" s="19" t="str">
        <x:v>Nebius Group N.V.</x:v>
      </x:c>
      <x:c r="D50" s="43" t="str">
        <x:v>Asset-backed facility signed July 10</x:v>
      </x:c>
      <x:c r="E50" s="43" t="str">
        <x:v>6-K</x:v>
      </x:c>
      <x:c r="F50" s="43" t="str">
        <x:v>https://www.sec.gov/Archives/edgar/data/1513845/000110465926084452/tm2620683d1_6k.htm</x:v>
      </x:c>
      <x:c r="G50" s="43" t="str">
        <x:v>nebius; revenue_per_mw; contract_economics</x:v>
      </x:c>
      <x:c r="H50" s="43" t="str">
        <x:v>active</x:v>
      </x:c>
      <x:c r="I50" s="43" t="str">
        <x:v>ASSET-BACKED FACILITY terms, security, covenants and guarantee paragraphs</x:v>
      </x:c>
    </x:row>
    <x:row r="51">
      <x:c r="A51" s="19" t="str">
        <x:v>SRC-NBIS-CONVERT-20260824</x:v>
      </x:c>
      <x:c r="B51" s="45" t="d">
        <x:v>2026-08-24T00:00:00.000Z</x:v>
      </x:c>
      <x:c r="C51" s="19" t="str">
        <x:v>Nebius Group N.V.</x:v>
      </x:c>
      <x:c r="D51" s="43" t="str">
        <x:v>Closing of $5.75B convertible senior notes</x:v>
      </x:c>
      <x:c r="E51" s="43" t="str">
        <x:v>6-K_exhibit</x:v>
      </x:c>
      <x:c r="F51" s="43" t="str">
        <x:v>https://www.sec.gov/Archives/edgar/data/1513845/000110465926100347/tm2623863d1_ex99-1.htm</x:v>
      </x:c>
      <x:c r="G51" s="43" t="str">
        <x:v>nebius; revenue_per_mw; contract_economics</x:v>
      </x:c>
      <x:c r="H51" s="43" t="str">
        <x:v>active</x:v>
      </x:c>
      <x:c r="I51" s="43" t="str">
        <x:v>Proceeds, accretion and exchange transaction paragraphs</x:v>
      </x:c>
    </x:row>
    <x:row r="52">
      <x:c r="A52" s="19" t="str">
        <x:v>SRC-NBIS-INDENTURE-2030</x:v>
      </x:c>
      <x:c r="B52" s="45" t="d">
        <x:v>2026-08-24T00:00:00.000Z</x:v>
      </x:c>
      <x:c r="C52" s="19" t="str">
        <x:v>Nebius Group N.V.</x:v>
      </x:c>
      <x:c r="D52" s="43" t="str">
        <x:v>0.500% notes due 2030 indenture</x:v>
      </x:c>
      <x:c r="E52" s="43" t="str">
        <x:v>indenture</x:v>
      </x:c>
      <x:c r="F52" s="43" t="str">
        <x:v>https://www.sec.gov/Archives/edgar/data/1513845/000110465926100347/tm2623863d1_ex4-1.htm</x:v>
      </x:c>
      <x:c r="G52" s="43" t="str">
        <x:v>nebius; revenue_per_mw; contract_economics</x:v>
      </x:c>
      <x:c r="H52" s="43" t="str">
        <x:v>active</x:v>
      </x:c>
      <x:c r="I52" s="43" t="str">
        <x:v>Section 2.21 and Exhibit C C-1 accreted principal schedule</x:v>
      </x:c>
    </x:row>
    <x:row r="53">
      <x:c r="A53" s="19" t="str">
        <x:v>SRC-NBIS-INDENTURE-2034</x:v>
      </x:c>
      <x:c r="B53" s="45" t="d">
        <x:v>2026-08-24T00:00:00.000Z</x:v>
      </x:c>
      <x:c r="C53" s="19" t="str">
        <x:v>Nebius Group N.V.</x:v>
      </x:c>
      <x:c r="D53" s="43" t="str">
        <x:v>4.500% notes due 2034 indenture</x:v>
      </x:c>
      <x:c r="E53" s="43" t="str">
        <x:v>indenture</x:v>
      </x:c>
      <x:c r="F53" s="43" t="str">
        <x:v>https://www.sec.gov/Archives/edgar/data/1513845/000110465926100347/tm2623863d1_ex4-3.htm</x:v>
      </x:c>
      <x:c r="G53" s="43" t="str">
        <x:v>nebius; revenue_per_mw; contract_economics</x:v>
      </x:c>
      <x:c r="H53" s="43" t="str">
        <x:v>active</x:v>
      </x:c>
      <x:c r="I53" s="43" t="str">
        <x:v>Sections 1.02(L), 2.21 and Exhibit C C-1</x:v>
      </x:c>
    </x:row>
    <x:row r="54">
      <x:c r="A54" s="19" t="str">
        <x:v>SRC-NBIS-PALANTIR-20260908</x:v>
      </x:c>
      <x:c r="B54" s="45" t="d">
        <x:v>2026-09-08T00:00:00.000Z</x:v>
      </x:c>
      <x:c r="C54" s="19" t="str">
        <x:v>Nebius Group N.V.</x:v>
      </x:c>
      <x:c r="D54" s="43" t="str">
        <x:v>Palantir/Nebius sovereign AI partnership</x:v>
      </x:c>
      <x:c r="E54" s="43" t="str">
        <x:v>6-K_exhibit</x:v>
      </x:c>
      <x:c r="F54" s="43" t="str">
        <x:v>https://www.sec.gov/Archives/edgar/data/1513845/000110465926105749/tm2624958d1_ex99-1.htm</x:v>
      </x:c>
      <x:c r="G54" s="43" t="str">
        <x:v>nebius; revenue_per_mw; contract_economics</x:v>
      </x:c>
      <x:c r="H54" s="43" t="str">
        <x:v>active</x:v>
      </x:c>
      <x:c r="I54" s="43" t="str">
        <x:v>Opening partnership and integration description</x:v>
      </x:c>
    </x:row>
    <x:row r="55">
      <x:c r="A55" s="19" t="str">
        <x:v>SRC-NBIS-NEWSROOM-20260915</x:v>
      </x:c>
      <x:c r="B55" s="45" t="d">
        <x:v>2026-09-15T00:00:00.000Z</x:v>
      </x:c>
      <x:c r="C55" s="19" t="str">
        <x:v>Nebius Group N.V.</x:v>
      </x:c>
      <x:c r="D55" s="43" t="str">
        <x:v>Issuer news index checked September 15</x:v>
      </x:c>
      <x:c r="E55" s="43" t="str">
        <x:v>issuer_index</x:v>
      </x:c>
      <x:c r="F55" s="43" t="str">
        <x:v>https://nebius.com/newsroom</x:v>
      </x:c>
      <x:c r="G55" s="43" t="str">
        <x:v>nebius; revenue_per_mw; contract_economics</x:v>
      </x:c>
      <x:c r="H55" s="43" t="str">
        <x:v>active</x:v>
      </x:c>
      <x:c r="I55" s="43" t="str">
        <x:v>Latest press releases; latest economic news September 8</x:v>
      </x:c>
    </x:row>
    <x:row r="56">
      <x:c r="A56" s="19" t="str">
        <x:v>SRC-IREN-10K-FY26</x:v>
      </x:c>
      <x:c r="B56" s="45" t="d">
        <x:v>2026-08-27T00:00:00.000Z</x:v>
      </x:c>
      <x:c r="C56" s="19" t="str">
        <x:v>IREN Limited / SEC</x:v>
      </x:c>
      <x:c r="D56" s="43" t="str">
        <x:v>FY2026 Form 10-K</x:v>
      </x:c>
      <x:c r="E56" s="43" t="str">
        <x:v>10-K</x:v>
      </x:c>
      <x:c r="F56" s="43" t="str">
        <x:v>https://www.sec.gov/Archives/edgar/data/1878848/000187884826000052/iren-20260630.htm</x:v>
      </x:c>
      <x:c r="G56" s="43" t="str">
        <x:v>iren; revenue_per_mw; contract_economics; capex</x:v>
      </x:c>
      <x:c r="H56" s="43" t="str">
        <x:v>active</x:v>
      </x:c>
      <x:c r="I56" s="43" t="str">
        <x:v>Item 1 pp.12-15; Item 7 pp.115-124; Notes 4 20 23 and 26</x:v>
      </x:c>
    </x:row>
    <x:row r="57">
      <x:c r="A57" s="19" t="str">
        <x:v>SRC-IREN-10Q-Q3FY26</x:v>
      </x:c>
      <x:c r="B57" s="45" t="d">
        <x:v>2026-05-08T00:00:00.000Z</x:v>
      </x:c>
      <x:c r="C57" s="19" t="str">
        <x:v>IREN Limited / SEC</x:v>
      </x:c>
      <x:c r="D57" s="43" t="str">
        <x:v>Q3 FY2026 Form 10-Q</x:v>
      </x:c>
      <x:c r="E57" s="43" t="str">
        <x:v>10-Q</x:v>
      </x:c>
      <x:c r="F57" s="43" t="str">
        <x:v>https://www.sec.gov/Archives/edgar/data/1878848/000187884826000026/iren-20260331.htm</x:v>
      </x:c>
      <x:c r="G57" s="43" t="str">
        <x:v>iren; revenue_per_mw; contract_economics</x:v>
      </x:c>
      <x:c r="H57" s="43" t="str">
        <x:v>active</x:v>
      </x:c>
      <x:c r="I57" s="43" t="str">
        <x:v>Note 2 segment policy; Note 4 revenue; Microsoft agreement; MD&amp;A</x:v>
      </x:c>
    </x:row>
    <x:row r="58">
      <x:c r="A58" s="19" t="str">
        <x:v>SRC-IREN-Q3FY26-ER</x:v>
      </x:c>
      <x:c r="B58" s="45" t="d">
        <x:v>2026-05-07T00:00:00.000Z</x:v>
      </x:c>
      <x:c r="C58" s="19" t="str">
        <x:v>IREN Limited / SEC</x:v>
      </x:c>
      <x:c r="D58" s="43" t="str">
        <x:v>Q3 FY2026 results</x:v>
      </x:c>
      <x:c r="E58" s="43" t="str">
        <x:v>earnings_release</x:v>
      </x:c>
      <x:c r="F58" s="43" t="str">
        <x:v>https://www.sec.gov/Archives/edgar/data/1878848/000187884826000025/irenreportsq3fy26results.htm</x:v>
      </x:c>
      <x:c r="G58" s="43" t="str">
        <x:v>iren; revenue_per_mw; contract_economics</x:v>
      </x:c>
      <x:c r="H58" s="43" t="str">
        <x:v>active</x:v>
      </x:c>
      <x:c r="I58" s="43" t="str">
        <x:v>Release dated May 7; SEC filing May 8. Opening highlights explicitly identify NVIDIA, five years, $3.4B and 60MW existing Childress capacity. May 26 Dell exhibit alone did not identify the customer.</x:v>
      </x:c>
    </x:row>
    <x:row r="59">
      <x:c r="A59" s="19" t="str">
        <x:v>SRC-IREN-FY26-ER</x:v>
      </x:c>
      <x:c r="B59" s="45" t="d">
        <x:v>2026-08-27T00:00:00.000Z</x:v>
      </x:c>
      <x:c r="C59" s="19" t="str">
        <x:v>IREN Limited / SEC</x:v>
      </x:c>
      <x:c r="D59" s="43" t="str">
        <x:v>FY2026 results</x:v>
      </x:c>
      <x:c r="E59" s="43" t="str">
        <x:v>earnings_release</x:v>
      </x:c>
      <x:c r="F59" s="43" t="str">
        <x:v>https://www.sec.gov/Archives/edgar/data/1878848/000187884826000051/irenreportsfy26results.htm</x:v>
      </x:c>
      <x:c r="G59" s="43" t="str">
        <x:v>iren; revenue_per_mw; contract_economics; capex</x:v>
      </x:c>
      <x:c r="H59" s="43" t="str">
        <x:v>active</x:v>
      </x:c>
      <x:c r="I59" s="43" t="str">
        <x:v>pp.1-3 pricing delivery and financing; pp.9-13 financial tables</x:v>
      </x:c>
    </x:row>
    <x:row r="60">
      <x:c r="A60" s="19" t="str">
        <x:v>SRC-IREN-FY26-PRESENTATION</x:v>
      </x:c>
      <x:c r="B60" s="45" t="d">
        <x:v>2026-08-27T00:00:00.000Z</x:v>
      </x:c>
      <x:c r="C60" s="19" t="str">
        <x:v>IREN Limited</x:v>
      </x:c>
      <x:c r="D60" s="43" t="str">
        <x:v>FY2026 results presentation</x:v>
      </x:c>
      <x:c r="E60" s="43" t="str">
        <x:v>earnings_presentation</x:v>
      </x:c>
      <x:c r="F60" s="43" t="str">
        <x:v>https://iren.gcs-web.com/static-files/1ca5b6f0-4b4d-4710-a7e2-69435e112b60</x:v>
      </x:c>
      <x:c r="G60" s="43" t="str">
        <x:v>iren; revenue_per_mw; contract_economics; capex</x:v>
      </x:c>
      <x:c r="H60" s="43" t="str">
        <x:v>active</x:v>
      </x:c>
      <x:c r="I60" s="43" t="str">
        <x:v>pp.5 9 11-15 20 22-24 and 26</x:v>
      </x:c>
    </x:row>
    <x:row r="61">
      <x:c r="A61" s="19" t="str">
        <x:v>SRC-IREN-MSFT-8K-20251103</x:v>
      </x:c>
      <x:c r="B61" s="45" t="d">
        <x:v>2025-11-03T00:00:00.000Z</x:v>
      </x:c>
      <x:c r="C61" s="19" t="str">
        <x:v>IREN Limited / SEC</x:v>
      </x:c>
      <x:c r="D61" s="43" t="str">
        <x:v>Microsoft and Dell agreements</x:v>
      </x:c>
      <x:c r="E61" s="43" t="str">
        <x:v>8-K</x:v>
      </x:c>
      <x:c r="F61" s="43" t="str">
        <x:v>https://www.sec.gov/Archives/edgar/data/1878848/000114036125040072/ef20058139_8k.htm</x:v>
      </x:c>
      <x:c r="G61" s="43" t="str">
        <x:v>iren; revenue_per_mw; contract_economics; capex</x:v>
      </x:c>
      <x:c r="H61" s="43" t="str">
        <x:v>active</x:v>
      </x:c>
      <x:c r="I61" s="43" t="str">
        <x:v>Items 1.01 and 7.01</x:v>
      </x:c>
    </x:row>
    <x:row r="62">
      <x:c r="A62" s="19" t="str">
        <x:v>SRC-IREN-MSFT-CONTRACT</x:v>
      </x:c>
      <x:c r="B62" s="45" t="d">
        <x:v>2026-02-05T00:00:00.000Z</x:v>
      </x:c>
      <x:c r="C62" s="19" t="str">
        <x:v>IREN Limited / SEC</x:v>
      </x:c>
      <x:c r="D62" s="43" t="str">
        <x:v>Microsoft partner statement of work</x:v>
      </x:c>
      <x:c r="E62" s="43" t="str">
        <x:v>contract_exhibit</x:v>
      </x:c>
      <x:c r="F62" s="43" t="str">
        <x:v>https://www.sec.gov/Archives/edgar/data/1878848/000187884826000015/exhibit103-partnerstatem.htm</x:v>
      </x:c>
      <x:c r="G62" s="43" t="str">
        <x:v>iren; revenue_per_mw; contract_economics</x:v>
      </x:c>
      <x:c r="H62" s="43" t="str">
        <x:v>active</x:v>
      </x:c>
      <x:c r="I62" s="43" t="str">
        <x:v>pp.3-5 acceptance; pp.6-8 fees tranches and prepayment; pp.9-13 delay and termination</x:v>
      </x:c>
    </x:row>
    <x:row r="63">
      <x:c r="A63" s="19" t="str">
        <x:v>SRC-IREN-GPUFIN-8K-20260529</x:v>
      </x:c>
      <x:c r="B63" s="45" t="d">
        <x:v>2026-06-01T00:00:00.000Z</x:v>
      </x:c>
      <x:c r="C63" s="19" t="str">
        <x:v>IREN Limited / SEC</x:v>
      </x:c>
      <x:c r="D63" s="43" t="str">
        <x:v>Microsoft GPU financing</x:v>
      </x:c>
      <x:c r="E63" s="43" t="str">
        <x:v>8-K</x:v>
      </x:c>
      <x:c r="F63" s="43" t="str">
        <x:v>https://www.sec.gov/Archives/edgar/data/1878848/000114036126023427/ef20075181_8k.htm</x:v>
      </x:c>
      <x:c r="G63" s="43" t="str">
        <x:v>iren; contract_economics; capex</x:v>
      </x:c>
      <x:c r="H63" s="43" t="str">
        <x:v>active</x:v>
      </x:c>
      <x:c r="I63" s="43" t="str">
        <x:v>SEC filing date June 1; agreement/event date May 29. Preserve separate dates.</x:v>
      </x:c>
    </x:row>
    <x:row r="64">
      <x:c r="A64" s="19" t="str">
        <x:v>SRC-IREN-GPUFIN-NPA</x:v>
      </x:c>
      <x:c r="B64" s="45" t="d">
        <x:v>2026-08-27T00:00:00.000Z</x:v>
      </x:c>
      <x:c r="C64" s="19" t="str">
        <x:v>IREN Limited / SEC</x:v>
      </x:c>
      <x:c r="D64" s="43" t="str">
        <x:v>5.96% note purchase agreement</x:v>
      </x:c>
      <x:c r="E64" s="43" t="str">
        <x:v>financing_exhibit</x:v>
      </x:c>
      <x:c r="F64" s="43" t="str">
        <x:v>https://www.sec.gov/Archives/edgar/data/1878848/000187884826000052/a1036notepurchaseagreeme.htm</x:v>
      </x:c>
      <x:c r="G64" s="43" t="str">
        <x:v>iren; contract_economics; capex</x:v>
      </x:c>
      <x:c r="H64" s="43" t="str">
        <x:v>active</x:v>
      </x:c>
      <x:c r="I64" s="43" t="str">
        <x:v>Sections 1 3 8-9 and Schedule B</x:v>
      </x:c>
    </x:row>
    <x:row r="65">
      <x:c r="A65" s="19" t="str">
        <x:v>SRC-IREN-GPUFIN-CTA</x:v>
      </x:c>
      <x:c r="B65" s="45" t="d">
        <x:v>2026-08-27T00:00:00.000Z</x:v>
      </x:c>
      <x:c r="C65" s="19" t="str">
        <x:v>IREN Limited / SEC</x:v>
      </x:c>
      <x:c r="D65" s="43" t="str">
        <x:v>GPU financing common terms agreement</x:v>
      </x:c>
      <x:c r="E65" s="43" t="str">
        <x:v>financing_exhibit</x:v>
      </x:c>
      <x:c r="F65" s="43" t="str">
        <x:v>https://www.sec.gov/Archives/edgar/data/1878848/000187884826000052/a1037commontermsagreemen.htm</x:v>
      </x:c>
      <x:c r="G65" s="43" t="str">
        <x:v>iren; contract_economics; capex</x:v>
      </x:c>
      <x:c r="H65" s="43" t="str">
        <x:v>active</x:v>
      </x:c>
      <x:c r="I65" s="43" t="str">
        <x:v>Sections 3 5 and 6; Schedule 1.1(a)</x:v>
      </x:c>
    </x:row>
    <x:row r="66">
      <x:c r="A66" s="19" t="str">
        <x:v>SRC-IREN-GPUFIN-REMARKETING-GUARANTEE</x:v>
      </x:c>
      <x:c r="B66" s="45" t="d">
        <x:v>2026-08-27T00:00:00.000Z</x:v>
      </x:c>
      <x:c r="C66" s="19" t="str">
        <x:v>IREN Limited / SEC</x:v>
      </x:c>
      <x:c r="D66" s="43" t="str">
        <x:v>IREN parent remarketing guarantee</x:v>
      </x:c>
      <x:c r="E66" s="43" t="str">
        <x:v>guarantee_exhibit</x:v>
      </x:c>
      <x:c r="F66" s="43" t="str">
        <x:v>https://www.sec.gov/Archives/edgar/data/1878848/000187884826000052/a1038irenlimitedparentguar.htm</x:v>
      </x:c>
      <x:c r="G66" s="43" t="str">
        <x:v>iren; contract_economics; capex</x:v>
      </x:c>
      <x:c r="H66" s="43" t="str">
        <x:v>active</x:v>
      </x:c>
      <x:c r="I66" s="43" t="str">
        <x:v>Article II guaranteed obligations; release and termination provisions</x:v>
      </x:c>
    </x:row>
    <x:row r="67">
      <x:c r="A67" s="19" t="str">
        <x:v>SRC-IREN-GPUFIN-PERFORMANCE-GUARANTEE</x:v>
      </x:c>
      <x:c r="B67" s="45" t="d">
        <x:v>2026-08-27T00:00:00.000Z</x:v>
      </x:c>
      <x:c r="C67" s="19" t="str">
        <x:v>IREN Limited / SEC</x:v>
      </x:c>
      <x:c r="D67" s="43" t="str">
        <x:v>IREN managed-services performance guarantee</x:v>
      </x:c>
      <x:c r="E67" s="43" t="str">
        <x:v>guarantee_exhibit</x:v>
      </x:c>
      <x:c r="F67" s="43" t="str">
        <x:v>https://www.sec.gov/Archives/edgar/data/1878848/000187884826000052/a1054irenlimitedparentguar.htm</x:v>
      </x:c>
      <x:c r="G67" s="43" t="str">
        <x:v>iren; contract_economics; capex</x:v>
      </x:c>
      <x:c r="H67" s="43" t="str">
        <x:v>active</x:v>
      </x:c>
      <x:c r="I67" s="43" t="str">
        <x:v>Sections 1.1 2.1-2.3 and 5.10</x:v>
      </x:c>
    </x:row>
    <x:row r="68">
      <x:c r="A68" s="19" t="str">
        <x:v>SRC-IREN-HORIZON1-20260813</x:v>
      </x:c>
      <x:c r="B68" s="45" t="d">
        <x:v>2026-08-13T00:00:00.000Z</x:v>
      </x:c>
      <x:c r="C68" s="19" t="str">
        <x:v>IREN Limited / SEC</x:v>
      </x:c>
      <x:c r="D68" s="43" t="str">
        <x:v>First Horizon 1 Microsoft tranche accepted</x:v>
      </x:c>
      <x:c r="E68" s="43" t="str">
        <x:v>8-K_exhibit</x:v>
      </x:c>
      <x:c r="F68" s="43" t="str">
        <x:v>https://www.sec.gov/Archives/edgar/data/1878848/000114036126032638/ef20080141_8k.htm</x:v>
      </x:c>
      <x:c r="G68" s="43" t="str">
        <x:v>iren; revenue_per_mw; contract_economics</x:v>
      </x:c>
      <x:c r="H68" s="43" t="str">
        <x:v>active</x:v>
      </x:c>
      <x:c r="I68" s="43" t="str">
        <x:v>Opening three paragraphs; 50 IT MW is subsequent to Q4 FY2026</x:v>
      </x:c>
    </x:row>
    <x:row r="69">
      <x:c r="A69" s="19" t="str">
        <x:v>SRC-IREN-NVIDIA-DELL-20260526</x:v>
      </x:c>
      <x:c r="B69" s="45" t="d">
        <x:v>2026-05-26T00:00:00.000Z</x:v>
      </x:c>
      <x:c r="C69" s="19" t="str">
        <x:v>IREN Limited / SEC</x:v>
      </x:c>
      <x:c r="D69" s="43" t="str">
        <x:v>NVIDIA managed services and Dell purchase agreements</x:v>
      </x:c>
      <x:c r="E69" s="43" t="str">
        <x:v>8-K_and_exhibit</x:v>
      </x:c>
      <x:c r="F69" s="43" t="str">
        <x:v>https://www.sec.gov/Archives/edgar/data/1878848/000187884826000030/0001878848-26-000030.txt</x:v>
      </x:c>
      <x:c r="G69" s="43" t="str">
        <x:v>iren; revenue_per_mw; contract_economics; capex</x:v>
      </x:c>
      <x:c r="H69" s="43" t="str">
        <x:v>active</x:v>
      </x:c>
      <x:c r="I69" s="43" t="str">
        <x:v>May 26 exhibit alone names no customer or 60MW. May 7 Q3 release and August 27 10-K independently confirm NVIDIA customer attribution. Dell procurement guarantee is IREN parent, not NVIDIA.</x:v>
      </x:c>
    </x:row>
    <x:row r="70">
      <x:c r="A70" s="19" t="str">
        <x:v>SRC-IREN-PRINCE-GEORGE-SITE-20260916</x:v>
      </x:c>
      <x:c r="B70" s="45" t="d">
        <x:v>2026-09-16T00:00:00.000Z</x:v>
      </x:c>
      <x:c r="C70" s="19" t="str">
        <x:v>IREN Limited</x:v>
      </x:c>
      <x:c r="D70" s="43" t="str">
        <x:v>Prince George data center specifications</x:v>
      </x:c>
      <x:c r="E70" s="43" t="str">
        <x:v>issuer_site_page</x:v>
      </x:c>
      <x:c r="F70" s="43" t="str">
        <x:v>https://iren.com/data-centers/prince-george</x:v>
      </x:c>
      <x:c r="G70" s="43" t="str">
        <x:v>iren; effective_mw</x:v>
      </x:c>
      <x:c r="H70" s="43" t="str">
        <x:v>active</x:v>
      </x:c>
      <x:c r="I70" s="43" t="str">
        <x:v>50 MW power capacity; average PUE 1.1; no measurement period or energy totals</x:v>
      </x:c>
    </x:row>
    <x:row r="71">
      <x:c r="A71" s="19" t="str">
        <x:v>SRC-IREN-MACKENZIE-SITE-20260916</x:v>
      </x:c>
      <x:c r="B71" s="45" t="d">
        <x:v>2026-09-16T00:00:00.000Z</x:v>
      </x:c>
      <x:c r="C71" s="19" t="str">
        <x:v>IREN Limited</x:v>
      </x:c>
      <x:c r="D71" s="43" t="str">
        <x:v>Mackenzie data center specifications</x:v>
      </x:c>
      <x:c r="E71" s="43" t="str">
        <x:v>issuer_site_page</x:v>
      </x:c>
      <x:c r="F71" s="43" t="str">
        <x:v>https://iren.com/data-centers/mackenzie</x:v>
      </x:c>
      <x:c r="G71" s="43" t="str">
        <x:v>iren; effective_mw</x:v>
      </x:c>
      <x:c r="H71" s="43" t="str">
        <x:v>active</x:v>
      </x:c>
      <x:c r="I71" s="43" t="str">
        <x:v>80 MW power capacity; average PUE 1.1; no measurement period or energy totals</x:v>
      </x:c>
    </x:row>
    <x:row r="72">
      <x:c r="A72" s="19" t="str">
        <x:v>SRC-IREN-SWEETWATER-20260908</x:v>
      </x:c>
      <x:c r="B72" s="45" t="d">
        <x:v>2026-09-08T00:00:00.000Z</x:v>
      </x:c>
      <x:c r="C72" s="19" t="str">
        <x:v>IREN Limited</x:v>
      </x:c>
      <x:c r="D72" s="43" t="str">
        <x:v>Sweetwater conditional ERCOT Batch Zero inclusion</x:v>
      </x:c>
      <x:c r="E72" s="43" t="str">
        <x:v>issuer_press_release</x:v>
      </x:c>
      <x:c r="F72" s="43" t="str">
        <x:v>https://iren.gcs-web.com/static-files/32760df9-d8fc-4118-90b3-6c9d3bb815a7</x:v>
      </x:c>
      <x:c r="G72" s="43" t="str">
        <x:v>iren; contract_economics; capex</x:v>
      </x:c>
      <x:c r="H72" s="43" t="str">
        <x:v>active</x:v>
      </x:c>
      <x:c r="I72" s="43" t="str">
        <x:v>p.1 conditional grid inclusion and 300 MW gross construction target</x:v>
      </x:c>
    </x:row>
    <x:row r="73">
      <x:c r="A73" s="19" t="str">
        <x:v>SRC-MSFT-10K-FY26</x:v>
      </x:c>
      <x:c r="B73" s="45" t="d">
        <x:v>2026-07-29T00:00:00.000Z</x:v>
      </x:c>
      <x:c r="C73" s="19" t="str">
        <x:v>Microsoft Corporation / SEC</x:v>
      </x:c>
      <x:c r="D73" s="43" t="str">
        <x:v>FY2026 Form 10-K</x:v>
      </x:c>
      <x:c r="E73" s="43" t="str">
        <x:v>10-K</x:v>
      </x:c>
      <x:c r="F73" s="43" t="str">
        <x:v>https://www.sec.gov/Archives/edgar/data/789019/000119312526323660/msft-20260630.htm</x:v>
      </x:c>
      <x:c r="G73" s="43" t="str">
        <x:v>microsoft_azure; revenue_per_mw; contract_economics; capex</x:v>
      </x:c>
      <x:c r="H73" s="43" t="str">
        <x:v>active</x:v>
      </x:c>
      <x:c r="I73" s="43" t="str">
        <x:v>Item 7 pp.33-45; Item 8 pp.52, 68-69, 76-79; obligations p.43; Notes 6, 12 and 13</x:v>
      </x:c>
    </x:row>
    <x:row r="74">
      <x:c r="A74" s="19" t="str">
        <x:v>SRC-MSFT-10Q-Q3FY26</x:v>
      </x:c>
      <x:c r="B74" s="45" t="d">
        <x:v>2026-04-29T00:00:00.000Z</x:v>
      </x:c>
      <x:c r="C74" s="19" t="str">
        <x:v>Microsoft Corporation / SEC</x:v>
      </x:c>
      <x:c r="D74" s="43" t="str">
        <x:v>Q3 FY2026 Form 10-Q</x:v>
      </x:c>
      <x:c r="E74" s="43" t="str">
        <x:v>10-Q</x:v>
      </x:c>
      <x:c r="F74" s="43" t="str">
        <x:v>https://www.sec.gov/Archives/edgar/data/789019/000119312526191507/msft-20260331.htm</x:v>
      </x:c>
      <x:c r="G74" s="43" t="str">
        <x:v>microsoft_azure; revenue_per_mw; contract_economics; capex</x:v>
      </x:c>
      <x:c r="H74" s="43" t="str">
        <x:v>active</x:v>
      </x:c>
      <x:c r="I74" s="43" t="str">
        <x:v>Notes 11-12 pp.20-24; Item 2 pp.31-47; uncommenced leases p.23</x:v>
      </x:c>
    </x:row>
    <x:row r="75">
      <x:c r="A75" s="19" t="str">
        <x:v>SRC-MSFT-FY26-ER</x:v>
      </x:c>
      <x:c r="B75" s="45" t="d">
        <x:v>2026-07-29T00:00:00.000Z</x:v>
      </x:c>
      <x:c r="C75" s="19" t="str">
        <x:v>Microsoft Corporation / SEC</x:v>
      </x:c>
      <x:c r="D75" s="43" t="str">
        <x:v>Q4 and FY2026 results</x:v>
      </x:c>
      <x:c r="E75" s="43" t="str">
        <x:v>earnings_release</x:v>
      </x:c>
      <x:c r="F75" s="43" t="str">
        <x:v>https://www.sec.gov/Archives/edgar/data/789019/000119312526323632/msft-ex99_1.htm</x:v>
      </x:c>
      <x:c r="G75" s="43" t="str">
        <x:v>microsoft_azure; revenue_per_mw; capex</x:v>
      </x:c>
      <x:c r="H75" s="43" t="str">
        <x:v>active</x:v>
      </x:c>
      <x:c r="I75" s="43" t="str">
        <x:v>Business Highlights and financial tables</x:v>
      </x:c>
    </x:row>
    <x:row r="76">
      <x:c r="A76" s="19" t="str">
        <x:v>SRC-MSFT-FY26-CALL</x:v>
      </x:c>
      <x:c r="B76" s="45" t="d">
        <x:v>2026-07-29T00:00:00.000Z</x:v>
      </x:c>
      <x:c r="C76" s="19" t="str">
        <x:v>Microsoft Corporation</x:v>
      </x:c>
      <x:c r="D76" s="43" t="str">
        <x:v>Q4 FY2026 earnings call transcript</x:v>
      </x:c>
      <x:c r="E76" s="43" t="str">
        <x:v>earnings_call_transcript</x:v>
      </x:c>
      <x:c r="F76" s="43" t="str">
        <x:v>https://www.microsoft.com/en-us/Investor/events/FY-2026/earnings-fy-2026-q4</x:v>
      </x:c>
      <x:c r="G76" s="43" t="str">
        <x:v>microsoft_azure; revenue_per_mw; token_economics; jevons; capex</x:v>
      </x:c>
      <x:c r="H76" s="43" t="str">
        <x:v>active</x:v>
      </x:c>
      <x:c r="I76" s="43" t="str">
        <x:v>Capacity, efficiency, capex, leases and outlook</x:v>
      </x:c>
    </x:row>
    <x:row r="77">
      <x:c r="A77" s="19" t="str">
        <x:v>SRC-MSFT-SEGMENT-8K-20260902</x:v>
      </x:c>
      <x:c r="B77" s="45" t="d">
        <x:v>2026-09-02T00:00:00.000Z</x:v>
      </x:c>
      <x:c r="C77" s="19" t="str">
        <x:v>Microsoft Corporation / SEC</x:v>
      </x:c>
      <x:c r="D77" s="43" t="str">
        <x:v>FY2027 segment reporting change Form 8-K</x:v>
      </x:c>
      <x:c r="E77" s="43" t="str">
        <x:v>8-K</x:v>
      </x:c>
      <x:c r="F77" s="43" t="str">
        <x:v>https://www.sec.gov/Archives/edgar/data/789019/000119312526380280/d291965d8k.htm</x:v>
      </x:c>
      <x:c r="G77" s="43" t="str">
        <x:v>microsoft_azure; revenue_per_mw</x:v>
      </x:c>
      <x:c r="H77" s="43" t="str">
        <x:v>active</x:v>
      </x:c>
      <x:c r="I77" s="43" t="str">
        <x:v>Item 7.01 and Exhibit 99.1</x:v>
      </x:c>
    </x:row>
    <x:row r="78">
      <x:c r="A78" s="19" t="str">
        <x:v>SRC-MSFT-SEGMENT-EX99-20260902</x:v>
      </x:c>
      <x:c r="B78" s="45" t="d">
        <x:v>2026-09-02T00:00:00.000Z</x:v>
      </x:c>
      <x:c r="C78" s="19" t="str">
        <x:v>Microsoft Corporation / SEC</x:v>
      </x:c>
      <x:c r="D78" s="43" t="str">
        <x:v>FY2027 segments and investor metrics</x:v>
      </x:c>
      <x:c r="E78" s="43" t="str">
        <x:v>8-K_exhibit</x:v>
      </x:c>
      <x:c r="F78" s="43" t="str">
        <x:v>https://www.sec.gov/Archives/edgar/data/789019/000119312526380280/d291965dex991.htm</x:v>
      </x:c>
      <x:c r="G78" s="43" t="str">
        <x:v>microsoft_azure; revenue_per_mw</x:v>
      </x:c>
      <x:c r="H78" s="43" t="str">
        <x:v>active</x:v>
      </x:c>
      <x:c r="I78" s="43" t="str">
        <x:v>Slides 4-7, 11-13 and 17-18; exact restated Azure revenue and changed perimeter</x:v>
      </x:c>
    </x:row>
    <x:row r="79">
      <x:c r="A79" s="19" t="str">
        <x:v>SRC-MSFT-PUE-FY25</x:v>
      </x:c>
      <x:c r="B79" s="45" t="d">
        <x:v>2026-09-17T00:00:00.000Z</x:v>
      </x:c>
      <x:c r="C79" s="19" t="str">
        <x:v>Microsoft Corporation</x:v>
      </x:c>
      <x:c r="D79" s="43" t="str">
        <x:v>Datacenter energy and water efficiency metrics</x:v>
      </x:c>
      <x:c r="E79" s="43" t="str">
        <x:v>issuer_datacenter_efficiency_page</x:v>
      </x:c>
      <x:c r="F79" s="43" t="str">
        <x:v>https://datacenters.microsoft.com/sustainability/efficiency/</x:v>
      </x:c>
      <x:c r="G79" s="43" t="str">
        <x:v>microsoft_azure; effective_mw</x:v>
      </x:c>
      <x:c r="H79" s="43" t="str">
        <x:v>active</x:v>
      </x:c>
      <x:c r="I79" s="43" t="str">
        <x:v>FY2025 PUE 1.17; fully owned and controlled full-year sites only</x:v>
      </x:c>
    </x:row>
    <x:row r="80">
      <x:c r="A80" s="19" t="str">
        <x:v>SRC-MSFT-ENV-DATA-FY25</x:v>
      </x:c>
      <x:c r="B80" s="45" t="d">
        <x:v>2026-07-14T00:00:00.000Z</x:v>
      </x:c>
      <x:c r="C80" s="19" t="str">
        <x:v>Microsoft Corporation</x:v>
      </x:c>
      <x:c r="D80" s="43" t="str">
        <x:v>2026 Environmental Data Fact Sheet</x:v>
      </x:c>
      <x:c r="E80" s="43" t="str">
        <x:v>environmental_data_fact_sheet</x:v>
      </x:c>
      <x:c r="F80" s="43" t="str">
        <x:v>https://cdn-dynmedia-1.microsoft.com/is/content/microsoftcorp/microsoft/msc/documents/presentations/CSR/2026-Microsoft-Environmental-Data-Fact-Sheet-PDF.pdf</x:v>
      </x:c>
      <x:c r="G80" s="43" t="str">
        <x:v>microsoft_azure; effective_mw</x:v>
      </x:c>
      <x:c r="H80" s="43" t="str">
        <x:v>active</x:v>
      </x:c>
      <x:c r="I80" s="43" t="str">
        <x:v>PDF pp.25-26 Table 15; 15,931,489 MWh listed facility electricity</x:v>
      </x:c>
    </x:row>
    <x:row r="81">
      <x:c r="A81" s="19" t="str">
        <x:v>SRC-MSFT-OPENAI-20251028</x:v>
      </x:c>
      <x:c r="B81" s="45" t="d">
        <x:v>2025-10-28T00:00:00.000Z</x:v>
      </x:c>
      <x:c r="C81" s="19" t="str">
        <x:v>Microsoft Corporation</x:v>
      </x:c>
      <x:c r="D81" s="43" t="str">
        <x:v>The next chapter of the Microsoft-OpenAI partnership</x:v>
      </x:c>
      <x:c r="E81" s="43" t="str">
        <x:v>issuer_partnership_announcement</x:v>
      </x:c>
      <x:c r="F81" s="43" t="str">
        <x:v>https://blogs.microsoft.com/blog/2025/10/28/the-next-chapter-of-the-microsoft-openai-partnership/</x:v>
      </x:c>
      <x:c r="G81" s="43" t="str">
        <x:v>microsoft_azure; contract_economics; open_vs_proprietary</x:v>
      </x:c>
      <x:c r="H81" s="43" t="str">
        <x:v>active</x:v>
      </x:c>
      <x:c r="I81" s="43" t="str">
        <x:v>$250B incremental Azure commitment and partnership terms</x:v>
      </x:c>
    </x:row>
    <x:row r="82">
      <x:c r="A82" s="19" t="str">
        <x:v>SRC-MSFT-OPENAI-20260427</x:v>
      </x:c>
      <x:c r="B82" s="45" t="d">
        <x:v>2026-04-27T00:00:00.000Z</x:v>
      </x:c>
      <x:c r="C82" s="19" t="str">
        <x:v>Microsoft Corporation</x:v>
      </x:c>
      <x:c r="D82" s="43" t="str">
        <x:v>The next phase of the Microsoft-OpenAI partnership</x:v>
      </x:c>
      <x:c r="E82" s="43" t="str">
        <x:v>issuer_partnership_amendment</x:v>
      </x:c>
      <x:c r="F82" s="43" t="str">
        <x:v>https://blogs.microsoft.com/blog/2026/04/27/the-next-phase-of-the-microsoft-openai-partnership/</x:v>
      </x:c>
      <x:c r="G82" s="43" t="str">
        <x:v>microsoft_azure; contract_economics; open_vs_proprietary</x:v>
      </x:c>
      <x:c r="H82" s="43" t="str">
        <x:v>active</x:v>
      </x:c>
      <x:c r="I82" s="43" t="str">
        <x:v>Primary cloud multi-cloud revenue-share and IP terms amended</x:v>
      </x:c>
    </x:row>
    <x:row r="83">
      <x:c r="A83" s="19" t="str">
        <x:v>SRC-MSFT-POWER-20240920</x:v>
      </x:c>
      <x:c r="B83" s="45" t="d">
        <x:v>2024-09-20T00:00:00.000Z</x:v>
      </x:c>
      <x:c r="C83" s="19" t="str">
        <x:v>Microsoft Corporation</x:v>
      </x:c>
      <x:c r="D83" s="43" t="str">
        <x:v>Accelerating the addition of carbon-free energy</x:v>
      </x:c>
      <x:c r="E83" s="43" t="str">
        <x:v>issuer_power_procurement_update</x:v>
      </x:c>
      <x:c r="F83" s="43" t="str">
        <x:v>https://www.microsoft.com/en-us/microsoft-cloud/blog/2024/09/20/accelerating-the-addition-of-carbon-free-energy-an-update-on-progress/</x:v>
      </x:c>
      <x:c r="G83" s="43" t="str">
        <x:v>microsoft_azure; contract_economics; power_to_silicon</x:v>
      </x:c>
      <x:c r="H83" s="43" t="str">
        <x:v>active</x:v>
      </x:c>
      <x:c r="I83" s="43" t="str">
        <x:v>Constellation, Brookfield and Powerex arrangements; generation MW kept separate from IT MW</x:v>
      </x:c>
    </x:row>
    <x:row r="84">
      <x:c r="A84" s="19" t="str">
        <x:v>SRC-CEG-MSFT-PPA-20240920</x:v>
      </x:c>
      <x:c r="B84" s="45" t="d">
        <x:v>2024-09-20T00:00:00.000Z</x:v>
      </x:c>
      <x:c r="C84" s="19" t="str">
        <x:v>Constellation Energy</x:v>
      </x:c>
      <x:c r="D84" s="43" t="str">
        <x:v>Constellation to launch Crane Clean Energy Center</x:v>
      </x:c>
      <x:c r="E84" s="43" t="str">
        <x:v>counterparty_PPA_announcement</x:v>
      </x:c>
      <x:c r="F84" s="43" t="str">
        <x:v>https://www.constellationenergy.com/news/2024/Constellation-to-Launch-Crane-Clean-Energy-Center-Restoring-Jobs-and-Carbon-Free-Power-to-The-Grid.html</x:v>
      </x:c>
      <x:c r="G84" s="43" t="str">
        <x:v>microsoft_azure; contract_economics; power_to_silicon</x:v>
      </x:c>
      <x:c r="H84" s="43" t="str">
        <x:v>active</x:v>
      </x:c>
      <x:c r="I84" s="43" t="str">
        <x:v>20-year PPA; approximately 835 MW to grid; expected online 2028; price undisclosed</x:v>
      </x:c>
    </x:row>
    <x:row r="85">
      <x:c r="A85" s="19" t="str">
        <x:v>SRC-AMZN-10K-FY25</x:v>
      </x:c>
      <x:c r="B85" s="45" t="d">
        <x:v>2026-02-06T00:00:00.000Z</x:v>
      </x:c>
      <x:c r="C85" s="19" t="str">
        <x:v>Amazon / SEC</x:v>
      </x:c>
      <x:c r="D85" s="43" t="str">
        <x:v>FY2025 Form 10-K</x:v>
      </x:c>
      <x:c r="E85" s="43" t="str">
        <x:v>10-K</x:v>
      </x:c>
      <x:c r="F85" s="43" t="str">
        <x:v>https://www.sec.gov/Archives/edgar/data/1018724/000101872426000004/amzn-20251231.htm</x:v>
      </x:c>
      <x:c r="G85" s="43" t="str">
        <x:v>amazon_aws;revenue_per_mw;contract_economics</x:v>
      </x:c>
      <x:c r="H85" s="43" t="str">
        <x:v>primary_read</x:v>
      </x:c>
      <x:c r="I85" s="43" t="str">
        <x:v>Note 1 pp.41,47: estimates and property/equipment lives; Note 2 investments; Note 10 segment tables. Period: 2025-01-01/2025-12-31. Publication: 2026-02-06.</x:v>
      </x:c>
    </x:row>
    <x:row r="86">
      <x:c r="A86" s="19" t="str">
        <x:v>SRC-AMZN-10Q-Q2FY26</x:v>
      </x:c>
      <x:c r="B86" s="45" t="d">
        <x:v>2026-07-31T00:00:00.000Z</x:v>
      </x:c>
      <x:c r="C86" s="19" t="str">
        <x:v>Amazon / SEC</x:v>
      </x:c>
      <x:c r="D86" s="43" t="str">
        <x:v>Q2 2026 Form 10-Q</x:v>
      </x:c>
      <x:c r="E86" s="43" t="str">
        <x:v>10-Q</x:v>
      </x:c>
      <x:c r="F86" s="43" t="str">
        <x:v>https://www.sec.gov/Archives/edgar/data/1018724/000101872426000026/amzn-20260630.htm</x:v>
      </x:c>
      <x:c r="G86" s="43" t="str">
        <x:v>amazon_aws;revenue_per_mw;contract_economics</x:v>
      </x:c>
      <x:c r="H86" s="43" t="str">
        <x:v>primary_read</x:v>
      </x:c>
      <x:c r="I86" s="43" t="str">
        <x:v>Note 1 pp.8-10 energy derivatives/unearned revenue; Note 2 pp.11-13 investments/VIE; Note 3 pp.13-14; Note 4 p.15 commitments; Note 5 pp.17-18 debt; Note 8 p.23 segment results; MD&amp;A p.30 pricing; Item 6 p.51 exhibits. Period: 2026-04-01/2026-06-30; H1 and subsequent events. Publication: 2026-07-31.</x:v>
      </x:c>
    </x:row>
    <x:row r="87">
      <x:c r="A87" s="19" t="str">
        <x:v>SRC-AMZN-Q2FY26-ER</x:v>
      </x:c>
      <x:c r="B87" s="45" t="d">
        <x:v>2026-07-30T00:00:00.000Z</x:v>
      </x:c>
      <x:c r="C87" s="19" t="str">
        <x:v>Amazon</x:v>
      </x:c>
      <x:c r="D87" s="43" t="str">
        <x:v>Q2 2026 earnings release</x:v>
      </x:c>
      <x:c r="E87" s="43" t="str">
        <x:v>earnings_release</x:v>
      </x:c>
      <x:c r="F87" s="43" t="str">
        <x:v>https://ir.aboutamazon.com/news-release/news-release-details/2026/Amazon-com-Announces-Second-Quarter-Results/default.aspx</x:v>
      </x:c>
      <x:c r="G87" s="43" t="str">
        <x:v>amazon_aws;revenue_per_mw;contract_economics</x:v>
      </x:c>
      <x:c r="H87" s="43" t="str">
        <x:v>primary_read</x:v>
      </x:c>
      <x:c r="I87" s="43" t="str">
        <x:v>Opening results; Jassy quotation; AI/chips highlights; cash-flow tables. Period: Q2 2026. Publication: 2026-07-30.</x:v>
      </x:c>
    </x:row>
    <x:row r="88">
      <x:c r="A88" s="19" t="str">
        <x:v>SRC-AMZN-Q2FY26-REMARKS</x:v>
      </x:c>
      <x:c r="B88" s="45"/>
      <x:c r="C88" s="19" t="str">
        <x:v>Amazon</x:v>
      </x:c>
      <x:c r="D88" s="43" t="str">
        <x:v>CEO Q2 earnings remarks excerpt</x:v>
      </x:c>
      <x:c r="E88" s="43" t="str">
        <x:v>issuer_earnings_remarks</x:v>
      </x:c>
      <x:c r="F88" s="43" t="str">
        <x:v>https://www.aboutamazon.com/news/company-news/amazon-ceo-andy-jassy-aws-revenue-growth-q2-2026-earnings</x:v>
      </x:c>
      <x:c r="G88" s="43" t="str">
        <x:v>amazon_aws;revenue_per_mw;contract_economics</x:v>
      </x:c>
      <x:c r="H88" s="43" t="str">
        <x:v>primary_read</x:v>
      </x:c>
      <x:c r="I88" s="43" t="str">
        <x:v>Opening AWS, Chips and AI run-rate paragraphs; core-services and model-training discussion. Period: Q2 2026. Publication: not verified.</x:v>
      </x:c>
    </x:row>
    <x:row r="89">
      <x:c r="A89" s="19" t="str">
        <x:v>SRC-AWS-PUE-FY25</x:v>
      </x:c>
      <x:c r="B89" s="45"/>
      <x:c r="C89" s="19" t="str">
        <x:v>Amazon</x:v>
      </x:c>
      <x:c r="D89" s="43" t="str">
        <x:v>AWS 2025 Sustainability Summary</x:v>
      </x:c>
      <x:c r="E89" s="43" t="str">
        <x:v>sustainability_report</x:v>
      </x:c>
      <x:c r="F89" s="43" t="str">
        <x:v>https://sustainability.aboutamazon.com/2025-aws-summary.pdf</x:v>
      </x:c>
      <x:c r="G89" s="43" t="str">
        <x:v>amazon_aws;revenue_per_mw;contract_economics</x:v>
      </x:c>
      <x:c r="H89" s="43" t="str">
        <x:v>primary_read</x:v>
      </x:c>
      <x:c r="I89" s="43" t="str">
        <x:v>p.6 Climate and Energy PUE; p.15 endnote 2. Period: 2025-01-01/2025-12-31. Publication: not verified.</x:v>
      </x:c>
    </x:row>
    <x:row r="90">
      <x:c r="A90" s="19" t="str">
        <x:v>SRC-AWS-PUE-REGIONS</x:v>
      </x:c>
      <x:c r="B90" s="45"/>
      <x:c r="C90" s="19" t="str">
        <x:v>Amazon</x:v>
      </x:c>
      <x:c r="D90" s="43" t="str">
        <x:v>AWS regional PUE and WUE table</x:v>
      </x:c>
      <x:c r="E90" s="43" t="str">
        <x:v>issuer_energy_disclosure</x:v>
      </x:c>
      <x:c r="F90" s="43" t="str">
        <x:v>https://sustainability.aboutamazon.com/products-services/aws-cloud</x:v>
      </x:c>
      <x:c r="G90" s="43" t="str">
        <x:v>amazon_aws;revenue_per_mw;contract_economics</x:v>
      </x:c>
      <x:c r="H90" s="43" t="str">
        <x:v>primary_read</x:v>
      </x:c>
      <x:c r="I90" s="43" t="str">
        <x:v>Power usage effectiveness; coverage paragraph; AWS PUE and WUE and AWS Region PUE and WUE tables. Period: Calendar 2025 and historical comparisons. Publication: not verified.</x:v>
      </x:c>
    </x:row>
    <x:row r="91">
      <x:c r="A91" s="19" t="str">
        <x:v>SRC-AWS-PUE-METHOD</x:v>
      </x:c>
      <x:c r="B91" s="45" t="d">
        <x:v>2024-12-03T00:00:00.000Z</x:v>
      </x:c>
      <x:c r="C91" s="19" t="str">
        <x:v>Amazon</x:v>
      </x:c>
      <x:c r="D91" s="43" t="str">
        <x:v>AWS PUE methodology</x:v>
      </x:c>
      <x:c r="E91" s="43" t="str">
        <x:v>methodology</x:v>
      </x:c>
      <x:c r="F91" s="43" t="str">
        <x:v>https://sustainability.aboutamazon.com/pue-methodology.pdf</x:v>
      </x:c>
      <x:c r="G91" s="43" t="str">
        <x:v>amazon_aws;revenue_per_mw;contract_economics</x:v>
      </x:c>
      <x:c r="H91" s="43" t="str">
        <x:v>primary_read</x:v>
      </x:c>
      <x:c r="I91" s="43" t="str">
        <x:v>p.2 ratio definition, intermediate metering, one-minute measurement and trailing-twelve-month reporting. Period: Methodology updated 2024-12-03. Publication: 2024-12-03.</x:v>
      </x:c>
    </x:row>
    <x:row r="92">
      <x:c r="A92" s="19" t="str">
        <x:v>SRC-AMZN-ANTHROPIC-20260420</x:v>
      </x:c>
      <x:c r="B92" s="45" t="d">
        <x:v>2026-04-20T00:00:00.000Z</x:v>
      </x:c>
      <x:c r="C92" s="19" t="str">
        <x:v>Amazon</x:v>
      </x:c>
      <x:c r="D92" s="43" t="str">
        <x:v>Expanded Anthropic strategic collaboration</x:v>
      </x:c>
      <x:c r="E92" s="43" t="str">
        <x:v>issuer_deal_announcement</x:v>
      </x:c>
      <x:c r="F92" s="43" t="str">
        <x:v>https://www.aboutamazon.com/news/company-news/amazon-invests-additional-5-billion-anthropic-ai</x:v>
      </x:c>
      <x:c r="G92" s="43" t="str">
        <x:v>amazon_aws;revenue_per_mw;contract_economics</x:v>
      </x:c>
      <x:c r="H92" s="43" t="str">
        <x:v>primary_read</x:v>
      </x:c>
      <x:c r="I92" s="43" t="str">
        <x:v>Opening commitment/capacity paragraphs; investment milestone paragraph; Trainium2/3/4 and Graviton scope. Period: Agreement announced 2026-04-20. Publication: 2026-04-20.</x:v>
      </x:c>
    </x:row>
    <x:row r="93">
      <x:c r="A93" s="19" t="str">
        <x:v>SRC-ANTHROPIC-AWS-20260420</x:v>
      </x:c>
      <x:c r="B93" s="45" t="d">
        <x:v>2026-04-20T00:00:00.000Z</x:v>
      </x:c>
      <x:c r="C93" s="19" t="str">
        <x:v>Anthropic</x:v>
      </x:c>
      <x:c r="D93" s="43" t="str">
        <x:v>Up to 5 GW expanded Amazon collaboration</x:v>
      </x:c>
      <x:c r="E93" s="43" t="str">
        <x:v>counterparty_deal_announcement</x:v>
      </x:c>
      <x:c r="F93" s="43" t="str">
        <x:v>https://www.anthropic.com/news/anthropic-amazon-compute</x:v>
      </x:c>
      <x:c r="G93" s="43" t="str">
        <x:v>amazon_aws;revenue_per_mw;contract_economics</x:v>
      </x:c>
      <x:c r="H93" s="43" t="str">
        <x:v>primary_read</x:v>
      </x:c>
      <x:c r="I93" s="43" t="str">
        <x:v>Opening capacity paragraph; Infrastructure at scale; Meeting record demand; timing to year-end 2026. Period: Announced 2026-04-20; clarified 2026-04-21. Publication: 2026-04-20.</x:v>
      </x:c>
    </x:row>
    <x:row r="94">
      <x:c r="A94" s="19" t="str">
        <x:v>SRC-AMZN-OPENAI-20260227</x:v>
      </x:c>
      <x:c r="B94" s="45" t="d">
        <x:v>2026-02-27T00:00:00.000Z</x:v>
      </x:c>
      <x:c r="C94" s="19" t="str">
        <x:v>Amazon / OpenAI</x:v>
      </x:c>
      <x:c r="D94" s="43" t="str">
        <x:v>OpenAI and Amazon strategic partnership</x:v>
      </x:c>
      <x:c r="E94" s="43" t="str">
        <x:v>issuer_deal_announcement</x:v>
      </x:c>
      <x:c r="F94" s="43" t="str">
        <x:v>https://press.aboutamazon.com/2026/2/openai-and-amazon-announce-strategic-partnership</x:v>
      </x:c>
      <x:c r="G94" s="43" t="str">
        <x:v>amazon_aws;revenue_per_mw;contract_economics</x:v>
      </x:c>
      <x:c r="H94" s="43" t="str">
        <x:v>primary_read</x:v>
      </x:c>
      <x:c r="I94" s="43" t="str">
        <x:v>Opening investment paragraph; OpenAI to use Trainium compute section. Period: 8-year expansion; Trainium4 expected 2027. Publication: 2026-02-27.</x:v>
      </x:c>
    </x:row>
    <x:row r="95">
      <x:c r="A95" s="19" t="str">
        <x:v>SRC-AMZN-TERMLOAN-20260610</x:v>
      </x:c>
      <x:c r="B95" s="45" t="d">
        <x:v>2026-06-10T00:00:00.000Z</x:v>
      </x:c>
      <x:c r="C95" s="19" t="str">
        <x:v>Amazon / SEC</x:v>
      </x:c>
      <x:c r="D95" s="43" t="str">
        <x:v>June 8 term loan agreement</x:v>
      </x:c>
      <x:c r="E95" s="43" t="str">
        <x:v>8-K_Exhibit_10.1</x:v>
      </x:c>
      <x:c r="F95" s="43" t="str">
        <x:v>https://www.sec.gov/Archives/edgar/data/1018724/000110465926072140/tm2613616d4_ex10-1.htm</x:v>
      </x:c>
      <x:c r="G95" s="43" t="str">
        <x:v>amazon_aws;revenue_per_mw;contract_economics</x:v>
      </x:c>
      <x:c r="H95" s="43" t="str">
        <x:v>primary_read</x:v>
      </x:c>
      <x:c r="I95" s="43" t="str">
        <x:v>Section 1.01 Applicable Rate p.2 and Commitment Termination Date p.7; Article II loans. Period: Agreement 2026-06-08; draw deadline 2026-09-30. Publication: 2026-06-10.</x:v>
      </x:c>
    </x:row>
    <x:row r="96">
      <x:c r="A96" s="19" t="str">
        <x:v>SRC-AMZN-REVOLVER364-20260731</x:v>
      </x:c>
      <x:c r="B96" s="45" t="d">
        <x:v>2026-07-31T00:00:00.000Z</x:v>
      </x:c>
      <x:c r="C96" s="19" t="str">
        <x:v>Amazon / SEC</x:v>
      </x:c>
      <x:c r="D96" s="43" t="str">
        <x:v>364-day credit agreement amendment</x:v>
      </x:c>
      <x:c r="E96" s="43" t="str">
        <x:v>10-Q_Exhibit_10.2</x:v>
      </x:c>
      <x:c r="F96" s="43" t="str">
        <x:v>https://www.sec.gov/Archives/edgar/data/1018724/000101872426000026/amzn-20260630xex102.htm</x:v>
      </x:c>
      <x:c r="G96" s="43" t="str">
        <x:v>amazon_aws;revenue_per_mw;contract_economics</x:v>
      </x:c>
      <x:c r="H96" s="43" t="str">
        <x:v>primary_read</x:v>
      </x:c>
      <x:c r="I96" s="43" t="str">
        <x:v>First Amendment sections 1-3 and Exhibit A. Period: Amendment 2026-06-08. Publication: 2026-07-31.</x:v>
      </x:c>
    </x:row>
    <x:row r="97">
      <x:c r="A97" s="19" t="str">
        <x:v>SRC-AMZN-REVOLVER5Y-20260731</x:v>
      </x:c>
      <x:c r="B97" s="45" t="d">
        <x:v>2026-07-31T00:00:00.000Z</x:v>
      </x:c>
      <x:c r="C97" s="19" t="str">
        <x:v>Amazon / SEC</x:v>
      </x:c>
      <x:c r="D97" s="43" t="str">
        <x:v>Five-year credit agreement amendment</x:v>
      </x:c>
      <x:c r="E97" s="43" t="str">
        <x:v>10-Q_Exhibit_10.3</x:v>
      </x:c>
      <x:c r="F97" s="43" t="str">
        <x:v>https://www.sec.gov/Archives/edgar/data/1018724/000101872426000026/amzn-20260630xex103.htm</x:v>
      </x:c>
      <x:c r="G97" s="43" t="str">
        <x:v>amazon_aws;revenue_per_mw;contract_economics</x:v>
      </x:c>
      <x:c r="H97" s="43" t="str">
        <x:v>primary_read</x:v>
      </x:c>
      <x:c r="I97" s="43" t="str">
        <x:v>First Amendment sections 1-3 and Exhibit A. Period: Amendment 2026-06-08. Publication: 2026-07-31.</x:v>
      </x:c>
    </x:row>
    <x:row r="98">
      <x:c r="A98" s="19" t="str">
        <x:v>SRC-TALEN-AWS-PPA-20250611</x:v>
      </x:c>
      <x:c r="B98" s="45" t="d">
        <x:v>2025-06-11T00:00:00.000Z</x:v>
      </x:c>
      <x:c r="C98" s="19" t="str">
        <x:v>Talen / SEC</x:v>
      </x:c>
      <x:c r="D98" s="43" t="str">
        <x:v>Expanded Susquehanna AWS PPA</x:v>
      </x:c>
      <x:c r="E98" s="43" t="str">
        <x:v>8-K_Exhibit_99.1</x:v>
      </x:c>
      <x:c r="F98" s="43" t="str">
        <x:v>https://www.sec.gov/Archives/edgar/data/1622536/000162828025030559/a20250611pressreleasebusin.htm</x:v>
      </x:c>
      <x:c r="G98" s="43" t="str">
        <x:v>amazon_aws;revenue_per_mw;contract_economics</x:v>
      </x:c>
      <x:c r="H98" s="43" t="str">
        <x:v>primary_read</x:v>
      </x:c>
      <x:c r="I98" s="43" t="str">
        <x:v>Opening capacity/term/ramp paragraphs; front-of-meter transition paragraph. Period: Announced 2025-06-11; through 2042. Publication: 2025-06-11.</x:v>
      </x:c>
    </x:row>
    <x:row r="99">
      <x:c r="A99" s="19" t="str">
        <x:v>SRC-AMZN-FILING-INDEX-20260919</x:v>
      </x:c>
      <x:c r="B99" s="45"/>
      <x:c r="C99" s="19" t="str">
        <x:v>SEC</x:v>
      </x:c>
      <x:c r="D99" s="43" t="str">
        <x:v>Amazon filing index freshness check</x:v>
      </x:c>
      <x:c r="E99" s="43" t="str">
        <x:v>filing_index</x:v>
      </x:c>
      <x:c r="F99" s="43" t="str">
        <x:v>https://www.sec.gov/edgar/browse/?CIK=1018724</x:v>
      </x:c>
      <x:c r="G99" s="43" t="str">
        <x:v>amazon_aws;revenue_per_mw;contract_economics</x:v>
      </x:c>
      <x:c r="H99" s="43" t="str">
        <x:v>index_checked</x:v>
      </x:c>
      <x:c r="I99" s="43" t="str">
        <x:v>Search-index rendered selected filings: latest annual February 6; quarterly July 31; September 9 items. Period: As checked 2026-09-19. Publication: not verified.</x:v>
      </x:c>
    </x:row>
    <x:row r="100">
      <x:c r="A100" s="19" t="str">
        <x:v>SRC-GOOG-10K-FY25</x:v>
      </x:c>
      <x:c r="B100" s="45" t="d">
        <x:v>2026-02-05T00:00:00.000Z</x:v>
      </x:c>
      <x:c r="C100" s="19" t="str">
        <x:v>Alphabet Inc. / SEC</x:v>
      </x:c>
      <x:c r="D100" s="43" t="str">
        <x:v>FY2025 Form 10-K</x:v>
      </x:c>
      <x:c r="E100" s="43" t="str">
        <x:v>10-K</x:v>
      </x:c>
      <x:c r="F100" s="43" t="str">
        <x:v>https://www.sec.gov/Archives/edgar/data/1652044/000165204426000018/goog-20251231.htm</x:v>
      </x:c>
      <x:c r="G100" s="43" t="str">
        <x:v>alphabet_gcp;revenue_per_mw;contract_economics;capex</x:v>
      </x:c>
      <x:c r="H100" s="43" t="str">
        <x:v>primary_read</x:v>
      </x:c>
      <x:c r="I100" s="43" t="str">
        <x:v>Item 7 pp.28-40; revenue backlog p.56; commitments pp.37-39; Note 15 pp.86-88. Period FY2025.</x:v>
      </x:c>
    </x:row>
    <x:row r="101">
      <x:c r="A101" s="19" t="str">
        <x:v>SRC-GOOG-10Q-Q2FY26</x:v>
      </x:c>
      <x:c r="B101" s="45" t="d">
        <x:v>2026-07-23T00:00:00.000Z</x:v>
      </x:c>
      <x:c r="C101" s="19" t="str">
        <x:v>Alphabet Inc. / SEC</x:v>
      </x:c>
      <x:c r="D101" s="43" t="str">
        <x:v>Q2 2026 Form 10-Q</x:v>
      </x:c>
      <x:c r="E101" s="43" t="str">
        <x:v>10-Q</x:v>
      </x:c>
      <x:c r="F101" s="43" t="str">
        <x:v>https://www.sec.gov/Archives/edgar/data/1652044/000165204426000071/goog-20260630.htm</x:v>
      </x:c>
      <x:c r="G101" s="43" t="str">
        <x:v>alphabet_gcp;revenue_per_mw;contract_economics;capex</x:v>
      </x:c>
      <x:c r="H101" s="43" t="str">
        <x:v>primary_read</x:v>
      </x:c>
      <x:c r="I101" s="43" t="str">
        <x:v>Notes 2, 4-6, 8, 10 and 15; MD&amp;A pp.43-54. Period Q2/H1 2026.</x:v>
      </x:c>
    </x:row>
    <x:row r="102">
      <x:c r="A102" s="19" t="str">
        <x:v>SRC-GOOG-Q2FY26-ER</x:v>
      </x:c>
      <x:c r="B102" s="45" t="d">
        <x:v>2026-07-22T00:00:00.000Z</x:v>
      </x:c>
      <x:c r="C102" s="19" t="str">
        <x:v>Alphabet Inc. / SEC</x:v>
      </x:c>
      <x:c r="D102" s="43" t="str">
        <x:v>Alphabet Announces Second Quarter 2026 Results</x:v>
      </x:c>
      <x:c r="E102" s="43" t="str">
        <x:v>8-K_Exhibit_99.1</x:v>
      </x:c>
      <x:c r="F102" s="43" t="str">
        <x:v>https://www.sec.gov/Archives/edgar/data/1652044/000165204426000066/googexhibit991q22026.htm</x:v>
      </x:c>
      <x:c r="G102" s="43" t="str">
        <x:v>alphabet_gcp;revenue_per_mw;capex</x:v>
      </x:c>
      <x:c r="H102" s="43" t="str">
        <x:v>primary_read</x:v>
      </x:c>
      <x:c r="I102" s="43" t="str">
        <x:v>Operating highlights; segment and cash-flow tables</x:v>
      </x:c>
    </x:row>
    <x:row r="103">
      <x:c r="A103" s="19" t="str">
        <x:v>SRC-GOOG-Q2FY26-CALL</x:v>
      </x:c>
      <x:c r="B103" s="45" t="d">
        <x:v>2026-07-22T00:00:00.000Z</x:v>
      </x:c>
      <x:c r="C103" s="19" t="str">
        <x:v>Alphabet Inc.</x:v>
      </x:c>
      <x:c r="D103" s="43" t="str">
        <x:v>Q2 2026 earnings call transcript</x:v>
      </x:c>
      <x:c r="E103" s="43" t="str">
        <x:v>issuer_earnings_call_transcript</x:v>
      </x:c>
      <x:c r="F103" s="43" t="str">
        <x:v>https://abc.xyz/investor/events/event-details/2026/2026-Q2-Earnings-Call-2026-GgTAq7Is0z/default.aspx</x:v>
      </x:c>
      <x:c r="G103" s="43" t="str">
        <x:v>alphabet_gcp;revenue_per_mw;contract_economics;capex</x:v>
      </x:c>
      <x:c r="H103" s="43" t="str">
        <x:v>primary_read</x:v>
      </x:c>
      <x:c r="I103" s="43" t="str">
        <x:v>Cloud, backlog, TPU system sales, third-party capacity, capex, energy and capital structure</x:v>
      </x:c>
    </x:row>
    <x:row r="104">
      <x:c r="A104" s="19" t="str">
        <x:v>SRC-GOOG-PUE-Q2FY26</x:v>
      </x:c>
      <x:c r="B104" s="45"/>
      <x:c r="C104" s="19" t="str">
        <x:v>Google</x:v>
      </x:c>
      <x:c r="D104" s="43" t="str">
        <x:v>Power usage effectiveness</x:v>
      </x:c>
      <x:c r="E104" s="43" t="str">
        <x:v>issuer_datacenter_efficiency_page</x:v>
      </x:c>
      <x:c r="F104" s="43" t="str">
        <x:v>https://datacenters.google/efficiency/</x:v>
      </x:c>
      <x:c r="G104" s="43" t="str">
        <x:v>alphabet_gcp;revenue_per_mw;effective_mw</x:v>
      </x:c>
      <x:c r="H104" s="43" t="str">
        <x:v>primary_read</x:v>
      </x:c>
      <x:c r="I104" s="43" t="str">
        <x:v>Q2 2026 quarterly fleet PUE 1.10 and TTM PUE 1.09; dynamic publication date not shown</x:v>
      </x:c>
    </x:row>
    <x:row r="105">
      <x:c r="A105" s="19" t="str">
        <x:v>SRC-GOOG-TPU-PRICING-20260920</x:v>
      </x:c>
      <x:c r="B105" s="45"/>
      <x:c r="C105" s="19" t="str">
        <x:v>Google Cloud</x:v>
      </x:c>
      <x:c r="D105" s="43" t="str">
        <x:v>Cloud TPU pricing</x:v>
      </x:c>
      <x:c r="E105" s="43" t="str">
        <x:v>issuer_pricing_page</x:v>
      </x:c>
      <x:c r="F105" s="43" t="str">
        <x:v>https://cloud.google.com/tpu/pricing</x:v>
      </x:c>
      <x:c r="G105" s="43" t="str">
        <x:v>alphabet_gcp;revenue_per_mw;contract_economics</x:v>
      </x:c>
      <x:c r="H105" s="43" t="str">
        <x:v>primary_read</x:v>
      </x:c>
      <x:c r="I105" s="43" t="str">
        <x:v>Ironwood and Trillium per-chip-hour list prices as retrieved 2026-09-20; realized price and system power missing</x:v>
      </x:c>
    </x:row>
    <x:row r="106">
      <x:c r="A106" s="19" t="str">
        <x:v>SRC-GOOG-TPU7X-20260920</x:v>
      </x:c>
      <x:c r="B106" s="45"/>
      <x:c r="C106" s="19" t="str">
        <x:v>Google Cloud</x:v>
      </x:c>
      <x:c r="D106" s="43" t="str">
        <x:v>TPU7x Ironwood architecture</x:v>
      </x:c>
      <x:c r="E106" s="43" t="str">
        <x:v>issuer_technical_documentation</x:v>
      </x:c>
      <x:c r="F106" s="43" t="str">
        <x:v>https://docs.cloud.google.com/tpu/docs/tpu7x</x:v>
      </x:c>
      <x:c r="G106" s="43" t="str">
        <x:v>alphabet_gcp;revenue_per_mw;power_to_silicon</x:v>
      </x:c>
      <x:c r="H106" s="43" t="str">
        <x:v>primary_read</x:v>
      </x:c>
      <x:c r="I106" s="43" t="str">
        <x:v>9,216-chip pod and four-chip VM architecture; full-system electrical power not disclosed</x:v>
      </x:c>
    </x:row>
    <x:row r="107">
      <x:c r="A107" s="19" t="str">
        <x:v>SRC-BX-GOOG-TPUJV-20260518</x:v>
      </x:c>
      <x:c r="B107" s="45" t="d">
        <x:v>2026-05-18T00:00:00.000Z</x:v>
      </x:c>
      <x:c r="C107" s="19" t="str">
        <x:v>Blackstone</x:v>
      </x:c>
      <x:c r="D107" s="43" t="str">
        <x:v>Blackstone Announces Joint Venture with Google to Create New TPU Cloud</x:v>
      </x:c>
      <x:c r="E107" s="43" t="str">
        <x:v>counterparty_deal_announcement</x:v>
      </x:c>
      <x:c r="F107" s="43" t="str">
        <x:v>https://www.blackstone.com/news/press/blackstone-announces-joint-venture-with-google-to-create-new-tpu-cloud/</x:v>
      </x:c>
      <x:c r="G107" s="43" t="str">
        <x:v>alphabet_gcp;revenue_per_mw;contract_economics;capex</x:v>
      </x:c>
      <x:c r="H107" s="43" t="str">
        <x:v>primary_read</x:v>
      </x:c>
      <x:c r="I107" s="43" t="str">
        <x:v>$5B initial Blackstone equity commitment; first 500 MW expected 2027; Google supplies TPU hardware/software/services</x:v>
      </x:c>
    </x:row>
    <x:row r="108">
      <x:c r="A108" s="19" t="str">
        <x:v>SRC-SPX-GOOG-COMPUTE-20260605</x:v>
      </x:c>
      <x:c r="B108" s="45" t="d">
        <x:v>2026-06-05T00:00:00.000Z</x:v>
      </x:c>
      <x:c r="C108" s="19" t="str">
        <x:v>SpaceX / SEC</x:v>
      </x:c>
      <x:c r="D108" s="43" t="str">
        <x:v>Google Cloud Service Agreement summary</x:v>
      </x:c>
      <x:c r="E108" s="43" t="str">
        <x:v>free_writing_prospectus</x:v>
      </x:c>
      <x:c r="F108" s="43" t="str">
        <x:v>https://www.sec.gov/Archives/edgar/data/1181412/000162828026041150/spacexagreementfwp.htm</x:v>
      </x:c>
      <x:c r="G108" s="43" t="str">
        <x:v>alphabet_gcp;revenue_per_mw;contract_economics</x:v>
      </x:c>
      <x:c r="H108" s="43" t="str">
        <x:v>primary_read</x:v>
      </x:c>
      <x:c r="I108" s="43" t="str">
        <x:v>$920M monthly for approximately 110000 GPUs plus systems; delivery and termination terms</x:v>
      </x:c>
    </x:row>
    <x:row r="109">
      <x:c r="A109" s="19" t="str">
        <x:v>SRC-GOOG-EQUITY-RAISE-20260604</x:v>
      </x:c>
      <x:c r="B109" s="45" t="d">
        <x:v>2026-06-04T00:00:00.000Z</x:v>
      </x:c>
      <x:c r="C109" s="19" t="str">
        <x:v>Alphabet Inc. / SEC</x:v>
      </x:c>
      <x:c r="D109" s="43" t="str">
        <x:v>AI infrastructure equity capital raise</x:v>
      </x:c>
      <x:c r="E109" s="43" t="str">
        <x:v>8-K_Exhibit_99.1</x:v>
      </x:c>
      <x:c r="F109" s="43" t="str">
        <x:v>https://www.sec.gov/Archives/edgar/data/1652044/000119312526257724/d83560dex991.htm</x:v>
      </x:c>
      <x:c r="G109" s="43" t="str">
        <x:v>alphabet_gcp;contract_economics;capex</x:v>
      </x:c>
      <x:c r="H109" s="43" t="str">
        <x:v>primary_read</x:v>
      </x:c>
      <x:c r="I109" s="43" t="str">
        <x:v>Offering composition and AI infrastructure use of proceeds</x:v>
      </x:c>
    </x:row>
    <x:row r="110">
      <x:c r="A110" s="19" t="str">
        <x:v>SRC-RAMP-AIINDEX-WE20260920</x:v>
      </x:c>
      <x:c r="B110" s="45" t="d">
        <x:v>2026-09-20T00:00:00.000Z</x:v>
      </x:c>
      <x:c r="C110" s="19" t="str">
        <x:v>Ramp Economics Lab</x:v>
      </x:c>
      <x:c r="D110" s="43" t="str">
        <x:v>Ramp AI Index weekly token and spend volumes week ending September 20 2026</x:v>
      </x:c>
      <x:c r="E110" s="43" t="str">
        <x:v>Interactive dashboard capture</x:v>
      </x:c>
      <x:c r="F110" s="43" t="str">
        <x:v>https://ramp.com/data/ai-index</x:v>
      </x:c>
      <x:c r="G110" s="43" t="str">
        <x:v>Weekly model attributed spend provider spend model spend and token volume series availability</x:v>
      </x:c>
      <x:c r="H110" s="43" t="str">
        <x:v>Primary capture</x:v>
      </x:c>
      <x:c r="I110" s="43" t="str">
        <x:v>Exact selected week values captured from Ramp UI screenshot supplied by user on 2026-09-22</x:v>
      </x:c>
    </x:row>
    <x:row r="111">
      <x:c r="A111" s="19" t="str">
        <x:v>SRC-RAMP-AIINDEX-SEP2026</x:v>
      </x:c>
      <x:c r="B111" s="45" t="d">
        <x:v>2026-09-09T00:00:00.000Z</x:v>
      </x:c>
      <x:c r="C111" s="19" t="str">
        <x:v>Ramp Economics Lab</x:v>
      </x:c>
      <x:c r="D111" s="43" t="str">
        <x:v>Cracks in the AI Thesis Part 2</x:v>
      </x:c>
      <x:c r="E111" s="43" t="str">
        <x:v>Web</x:v>
      </x:c>
      <x:c r="F111" s="43" t="str">
        <x:v>https://ramp.com/data/ai-index-sept-2026</x:v>
      </x:c>
      <x:c r="G111" s="43" t="str">
        <x:v>Effective token price price decline business mix and methodology</x:v>
      </x:c>
      <x:c r="H111" s="43" t="str">
        <x:v>Primary</x:v>
      </x:c>
      <x:c r="I111" s="43" t="str">
        <x:v>Ramp reported 0.68 USD per million tokens and a 41 percent decline from the 2026 peak</x:v>
      </x:c>
    </x:row>
    <x:row r="112">
      <x:c r="A112" s="19" t="str">
        <x:v>SRC-META-10K-FY25</x:v>
      </x:c>
      <x:c r="B112" s="45" t="d">
        <x:v>2026-01-29T00:00:00.000Z</x:v>
      </x:c>
      <x:c r="C112" s="19" t="str">
        <x:v>Meta Platforms Inc. / SEC</x:v>
      </x:c>
      <x:c r="D112" s="43" t="str">
        <x:v>FY2025 Form 10-K</x:v>
      </x:c>
      <x:c r="E112" s="43" t="str">
        <x:v>10-K</x:v>
      </x:c>
      <x:c r="F112" s="43" t="str">
        <x:v>https://www.sec.gov/Archives/edgar/data/1326801/000162828026003942/meta-20251231.htm</x:v>
      </x:c>
      <x:c r="G112" s="43" t="str">
        <x:v>meta;revenue_per_mw;contract_economics;capex</x:v>
      </x:c>
      <x:c r="H112" s="43" t="str">
        <x:v>primary_read</x:v>
      </x:c>
      <x:c r="I112" s="43" t="str">
        <x:v>Filing index; MD&amp;A; revenue; leases and contractual commitments</x:v>
      </x:c>
    </x:row>
    <x:row r="113">
      <x:c r="A113" s="19" t="str">
        <x:v>SRC-META-10Q-Q2FY26</x:v>
      </x:c>
      <x:c r="B113" s="45" t="d">
        <x:v>2026-07-30T00:00:00.000Z</x:v>
      </x:c>
      <x:c r="C113" s="19" t="str">
        <x:v>Meta Platforms Inc. / SEC</x:v>
      </x:c>
      <x:c r="D113" s="43" t="str">
        <x:v>Q2 2026 Form 10-Q</x:v>
      </x:c>
      <x:c r="E113" s="43" t="str">
        <x:v>10-Q</x:v>
      </x:c>
      <x:c r="F113" s="43" t="str">
        <x:v>https://www.sec.gov/Archives/edgar/data/1326801/000162828026050705/meta-20260630.htm</x:v>
      </x:c>
      <x:c r="G113" s="43" t="str">
        <x:v>meta;revenue_per_mw;contract_economics;capex</x:v>
      </x:c>
      <x:c r="H113" s="43" t="str">
        <x:v>primary_read</x:v>
      </x:c>
      <x:c r="I113" s="43" t="str">
        <x:v>Revenue, VIEs, property, debt, commitments, subsequent event and MD&amp;A</x:v>
      </x:c>
    </x:row>
    <x:row r="114">
      <x:c r="A114" s="19" t="str">
        <x:v>SRC-META-Q2FY26-ER</x:v>
      </x:c>
      <x:c r="B114" s="45" t="d">
        <x:v>2026-07-29T00:00:00.000Z</x:v>
      </x:c>
      <x:c r="C114" s="19" t="str">
        <x:v>Meta Platforms Inc.</x:v>
      </x:c>
      <x:c r="D114" s="43" t="str">
        <x:v>Meta Reports Second Quarter 2026 Results</x:v>
      </x:c>
      <x:c r="E114" s="43" t="str">
        <x:v>earnings_release</x:v>
      </x:c>
      <x:c r="F114" s="43" t="str">
        <x:v>https://investor.atmeta.com/investor-news/press-release-details/2026/Meta-Reports-Second-Quarter-2026-Results/default.aspx</x:v>
      </x:c>
      <x:c r="G114" s="43" t="str">
        <x:v>meta;revenue_per_mw;capex</x:v>
      </x:c>
      <x:c r="H114" s="43" t="str">
        <x:v>primary_read</x:v>
      </x:c>
      <x:c r="I114" s="43" t="str">
        <x:v>Financial highlights capex cash flow and 2026 capex outlook</x:v>
      </x:c>
    </x:row>
    <x:row r="115">
      <x:c r="A115" s="19" t="str">
        <x:v>SRC-META-Q2FY26-CALL</x:v>
      </x:c>
      <x:c r="B115" s="45" t="d">
        <x:v>2026-07-29T00:00:00.000Z</x:v>
      </x:c>
      <x:c r="C115" s="19" t="str">
        <x:v>Meta Platforms Inc.</x:v>
      </x:c>
      <x:c r="D115" s="43" t="str">
        <x:v>Q2 2026 earnings call transcript</x:v>
      </x:c>
      <x:c r="E115" s="43" t="str">
        <x:v>issuer_earnings_call_transcript</x:v>
      </x:c>
      <x:c r="F115" s="43" t="str">
        <x:v>https://s21.q4cdn.com/399680738/files/doc_financials/2026/q2/META-Q2-2026-Earnings-Call-Transcript.pdf</x:v>
      </x:c>
      <x:c r="G115" s="43" t="str">
        <x:v>meta;revenue_per_mw;contract_economics;capex</x:v>
      </x:c>
      <x:c r="H115" s="43" t="str">
        <x:v>primary_read</x:v>
      </x:c>
      <x:c r="I115" s="43" t="str">
        <x:v>AI monetization claims capacity strategy capex and direct-compute Q&amp;A</x:v>
      </x:c>
    </x:row>
    <x:row r="116">
      <x:c r="A116" s="19" t="str">
        <x:v>SRC-META-Q2FY26-FOLLOWUP</x:v>
      </x:c>
      <x:c r="B116" s="45" t="d">
        <x:v>2026-07-29T00:00:00.000Z</x:v>
      </x:c>
      <x:c r="C116" s="19" t="str">
        <x:v>Meta Platforms Inc.</x:v>
      </x:c>
      <x:c r="D116" s="43" t="str">
        <x:v>Q2 2026 follow-up call transcript</x:v>
      </x:c>
      <x:c r="E116" s="43" t="str">
        <x:v>issuer_follow_up_call_transcript</x:v>
      </x:c>
      <x:c r="F116" s="43" t="str">
        <x:v>https://s21.q4cdn.com/399680738/files/doc_financials/2026/q2/META-Q2-2026-Follow-Up-Call-Transcript.pdf</x:v>
      </x:c>
      <x:c r="G116" s="43" t="str">
        <x:v>meta;revenue_per_mw;contract_economics;capex</x:v>
      </x:c>
      <x:c r="H116" s="43" t="str">
        <x:v>primary_read</x:v>
      </x:c>
      <x:c r="I116" s="43" t="str">
        <x:v>Capacity partnership financing third-party cloud and enterprise monetization</x:v>
      </x:c>
    </x:row>
    <x:row r="117">
      <x:c r="A117" s="19" t="str">
        <x:v>SRC-META-PUE-FY24</x:v>
      </x:c>
      <x:c r="B117" s="45" t="d">
        <x:v>2025-10-01T00:00:00.000Z</x:v>
      </x:c>
      <x:c r="C117" s="19" t="str">
        <x:v>Meta Platforms Inc.</x:v>
      </x:c>
      <x:c r="D117" s="43" t="str">
        <x:v>Meta 2025 Environmental Data Index</x:v>
      </x:c>
      <x:c r="E117" s="43" t="str">
        <x:v>environmental_data_index</x:v>
      </x:c>
      <x:c r="F117" s="43" t="str">
        <x:v>https://sustainability.atmeta.com/wp-content/uploads/2025/10/Meta_2025-Environmental-Data-Index.pdf</x:v>
      </x:c>
      <x:c r="G117" s="43" t="str">
        <x:v>meta;revenue_per_mw;effective_mw</x:v>
      </x:c>
      <x:c r="H117" s="43" t="str">
        <x:v>primary_read</x:v>
      </x:c>
      <x:c r="I117" s="43" t="str">
        <x:v>FY2024 annual fleet PUE 1.08; not a Q2 2026 AI-specific boundary</x:v>
      </x:c>
    </x:row>
    <x:row r="118">
      <x:c r="A118" s="19" t="str">
        <x:v>SRC-META-HYPERION-20251021</x:v>
      </x:c>
      <x:c r="B118" s="45" t="d">
        <x:v>2025-10-21T00:00:00.000Z</x:v>
      </x:c>
      <x:c r="C118" s="19" t="str">
        <x:v>Meta Platforms Inc.</x:v>
      </x:c>
      <x:c r="D118" s="43" t="str">
        <x:v>Meta Announces Joint Venture with Funds Managed by Blue Owl Capital to Develop Hyperion Data Center</x:v>
      </x:c>
      <x:c r="E118" s="43" t="str">
        <x:v>issuer_joint_venture_announcement</x:v>
      </x:c>
      <x:c r="F118" s="43" t="str">
        <x:v>https://investor.atmeta.com/investor-news/press-release-details/2025/Meta-Announces-Joint-Venture-with-Funds-Managed-by-Blue-Owl-Capital-to-Develop-Hyperion-Data-Center/default.aspx</x:v>
      </x:c>
      <x:c r="G118" s="43" t="str">
        <x:v>meta;contract_economics;capex</x:v>
      </x:c>
      <x:c r="H118" s="43" t="str">
        <x:v>primary_read</x:v>
      </x:c>
      <x:c r="I118" s="43" t="str">
        <x:v>Ownership development funding contribution distribution lease and residual-value guarantee</x:v>
      </x:c>
    </x:row>
    <x:row r="119">
      <x:c r="A119" s="19" t="str">
        <x:v>SRC-META-ELPASO-20260728</x:v>
      </x:c>
      <x:c r="B119" s="45" t="d">
        <x:v>2026-07-28T00:00:00.000Z</x:v>
      </x:c>
      <x:c r="C119" s="19" t="str">
        <x:v>Meta Platforms Inc. and BlackRock</x:v>
      </x:c>
      <x:c r="D119" s="43" t="str">
        <x:v>Meta Announces New Strategic Venture with BlackRock to Develop Data Center in El Paso</x:v>
      </x:c>
      <x:c r="E119" s="43" t="str">
        <x:v>issuer_joint_venture_announcement</x:v>
      </x:c>
      <x:c r="F119" s="43" t="str">
        <x:v>https://investor.atmeta.com/investor-news/press-release-details/2026/Meta-Announces-New-Strategic-Venture-with-BlackRock-to-Develop-Data-Center-in-El-Paso/default.aspx</x:v>
      </x:c>
      <x:c r="G119" s="43" t="str">
        <x:v>meta;revenue_per_mw;contract_economics;capex</x:v>
      </x:c>
      <x:c r="H119" s="43" t="str">
        <x:v>primary_read</x:v>
      </x:c>
      <x:c r="I119" s="43" t="str">
        <x:v>1 GW stated compute capacity expected 2028 with venture financing lease and residual-value guarantee</x:v>
      </x:c>
    </x:row>
    <x:row r="120">
      <x:c r="A120" s="19" t="str">
        <x:v>SRC-FT-COMPUTE-FUTURES-20261003</x:v>
      </x:c>
      <x:c r="B120" s="45" t="d">
        <x:v>2026-10-03T00:00:00.000Z</x:v>
      </x:c>
      <x:c r="C120" s="19" t="str">
        <x:v>Financial Times</x:v>
      </x:c>
      <x:c r="D120" s="43" t="str">
        <x:v>The coming futures market in AI compute</x:v>
      </x:c>
      <x:c r="E120" s="43" t="str">
        <x:v>commentary</x:v>
      </x:c>
      <x:c r="F120" s="43" t="str">
        <x:v>https://www.ft.com/content/a1815bc5-b5d5-47ff-bbbc-e1a689929321</x:v>
      </x:c>
      <x:c r="G120" s="43" t="str">
        <x:v>compute_futures;time_to_mw</x:v>
      </x:c>
      <x:c r="H120" s="43" t="str">
        <x:v>secondary_read</x:v>
      </x:c>
      <x:c r="I120" s="43" t="str">
        <x:v>Text retrieved through search; direct page unavailable. Commentary, not proof of a live market or project-default prediction.</x:v>
      </x:c>
    </x:row>
    <x:row r="121">
      <x:c r="A121" s="19" t="str">
        <x:v>SRC-CME-COMPUTE-SPECS-20261004</x:v>
      </x:c>
      <x:c r="B121" s="45"/>
      <x:c r="C121" s="19" t="str">
        <x:v>CME Group</x:v>
      </x:c>
      <x:c r="D121" s="43" t="str">
        <x:v>Compute futures product specifications</x:v>
      </x:c>
      <x:c r="E121" s="43" t="str">
        <x:v>exchange_product_page</x:v>
      </x:c>
      <x:c r="F121" s="43" t="str">
        <x:v>https://www.cmegroup.com/markets/energy/power/compute-futures.html</x:v>
      </x:c>
      <x:c r="G121" s="43" t="str">
        <x:v>compute_futures;contract_economics</x:v>
      </x:c>
      <x:c r="H121" s="43" t="str">
        <x:v>primary_read</x:v>
      </x:c>
      <x:c r="I121" s="43" t="str">
        <x:v>Undated live page observed October 4; planned H100/B200 non-hyperscaler rental benchmarks.</x:v>
      </x:c>
    </x:row>
    <x:row r="122">
      <x:c r="A122" s="19" t="str">
        <x:v>SRC-CME-COMPUTE-REVISED-20261004</x:v>
      </x:c>
      <x:c r="B122" s="45"/>
      <x:c r="C122" s="19" t="str">
        <x:v>CME Group</x:v>
      </x:c>
      <x:c r="D122" s="43" t="str">
        <x:v>Revised clearing advisory 26-274: effective date to be announced</x:v>
      </x:c>
      <x:c r="E122" s="43" t="str">
        <x:v>exchange_clearing_notice</x:v>
      </x:c>
      <x:c r="F122" s="43" t="str">
        <x:v>https://www.cmegroup.com/notices/clearing/2026/08/26-274.html</x:v>
      </x:c>
      <x:c r="G122" s="43" t="str">
        <x:v>compute_futures</x:v>
      </x:c>
      <x:c r="H122" s="43" t="str">
        <x:v>primary_read</x:v>
      </x:c>
      <x:c r="I122" s="43" t="str">
        <x:v>Exact revision publication date unavailable. Page title says effective date to be announced; full advisory attachment not exposed in retrieved page.</x:v>
      </x:c>
    </x:row>
    <x:row r="123">
      <x:c r="A123" s="19" t="str">
        <x:v>SRC-CME-COMPUTE-ANNOUNCE-20260811</x:v>
      </x:c>
      <x:c r="B123" s="45" t="d">
        <x:v>2026-08-11T00:00:00.000Z</x:v>
      </x:c>
      <x:c r="C123" s="19" t="str">
        <x:v>CME Group</x:v>
      </x:c>
      <x:c r="D123" s="43" t="str">
        <x:v>CME Group and Silicon Data to Launch Compute Futures on October 5</x:v>
      </x:c>
      <x:c r="E123" s="43" t="str">
        <x:v>exchange_press_release</x:v>
      </x:c>
      <x:c r="F123" s="43" t="str">
        <x:v>https://cmegroupinc.gcs-web.com/node/55686</x:v>
      </x:c>
      <x:c r="G123" s="43" t="str">
        <x:v>compute_futures</x:v>
      </x:c>
      <x:c r="H123" s="43" t="str">
        <x:v>primary_read</x:v>
      </x:c>
      <x:c r="I123" s="43" t="str">
        <x:v>Original target only; later revised notice prevents treating October 5 as a confirmed live-trading date.</x:v>
      </x:c>
    </x:row>
    <x:row r="124">
      <x:c r="A124" s="19" t="str">
        <x:v>SRC-MW-TIME-METHOD-20261002</x:v>
      </x:c>
      <x:c r="B124" s="45" t="d">
        <x:v>2026-10-02T00:00:00.000Z</x:v>
      </x:c>
      <x:c r="C124" s="19" t="str">
        <x:v>MW/$ research</x:v>
      </x:c>
      <x:c r="D124" s="43" t="str">
        <x:v>Project time and depreciation method and seeded dashboard</x:v>
      </x:c>
      <x:c r="E124" s="43" t="str">
        <x:v>internal_method</x:v>
      </x:c>
      <x:c r="F124" s="43" t="str">
        <x:v>https://github.com/smsyt4sjvc-crypto/MW-/blob/3172e3699ebbe47c46b8e8d8cdd734e849624342/ops/project-time-depreciation.md</x:v>
      </x:c>
      <x:c r="G124" s="43" t="str">
        <x:v>time_to_mw;economic_depreciation</x:v>
      </x:c>
      <x:c r="H124" s="43" t="str">
        <x:v>internal_model</x:v>
      </x:c>
      <x:c r="I124" s="43" t="str">
        <x:v>Reference scenarios and three-observation seed, not an industry estimate; underlying primary milestone sources remain in infrastructure source ledger.</x:v>
      </x:c>
    </x:row>
    <x:row r="125">
      <x:c r="A125" s="19" t="str">
        <x:v>SRC-NSCALE-S1-20260918</x:v>
      </x:c>
      <x:c r="B125" s="45" t="d">
        <x:v>2026-09-18T00:00:00.000Z</x:v>
      </x:c>
      <x:c r="C125" s="19" t="str">
        <x:v>Nscale / SEC</x:v>
      </x:c>
      <x:c r="D125" s="43" t="str">
        <x:v>Nscale S-1: annual FY2025 and interim H1 2026 financials</x:v>
      </x:c>
      <x:c r="E125" s="43" t="str">
        <x:v>S-1</x:v>
      </x:c>
      <x:c r="F125" s="43" t="str">
        <x:v>https://www.sec.gov/Archives/edgar/data/2110365/000119312526395475/ck0002110365-20260918.htm</x:v>
      </x:c>
      <x:c r="G125" s="43" t="str">
        <x:v>Nscale review 2026-10-05</x:v>
      </x:c>
      <x:c r="H125" s="43" t="str">
        <x:v>Primary read</x:v>
      </x:c>
      <x:c r="I125" s="43" t="str">
        <x:v>pp. 13,27,84-86,99-100,114-115,118-119; F-4,F-6,F-10,F-17-18,F-45,F-47,F-49-50,F-52-55,F-63-65</x:v>
      </x:c>
    </x:row>
    <x:row r="126">
      <x:c r="A126" s="19" t="str">
        <x:v>SRC-NSCALE-ANTHROPIC-EX1025</x:v>
      </x:c>
      <x:c r="B126" s="45" t="d">
        <x:v>2026-09-18T00:00:00.000Z</x:v>
      </x:c>
      <x:c r="C126" s="19" t="str">
        <x:v>Nscale / SEC</x:v>
      </x:c>
      <x:c r="D126" s="43" t="str">
        <x:v>Form of Anthropic GPU services order</x:v>
      </x:c>
      <x:c r="E126" s="43" t="str">
        <x:v>S-1 Exhibit 10.25</x:v>
      </x:c>
      <x:c r="F126" s="43" t="str">
        <x:v>https://www.sec.gov/Archives/edgar/data/2110365/000119312526395475/ck0002110365-ex10_25.htm</x:v>
      </x:c>
      <x:c r="G126" s="43" t="str">
        <x:v>Nscale review 2026-10-05</x:v>
      </x:c>
      <x:c r="H126" s="43" t="str">
        <x:v>Primary read</x:v>
      </x:c>
      <x:c r="I126" s="43" t="str">
        <x:v>Order sections 1(c),4-9; pricing and capacity tables; terms of service and redacted schedules</x:v>
      </x:c>
    </x:row>
    <x:row r="127">
      <x:c r="A127" s="19" t="str">
        <x:v>SRC-NSCALE-MSFT-EX1019</x:v>
      </x:c>
      <x:c r="B127" s="45" t="d">
        <x:v>2026-09-18T00:00:00.000Z</x:v>
      </x:c>
      <x:c r="C127" s="19" t="str">
        <x:v>Nscale / SEC</x:v>
      </x:c>
      <x:c r="D127" s="43" t="str">
        <x:v>Form of Microsoft partner statement of work</x:v>
      </x:c>
      <x:c r="E127" s="43" t="str">
        <x:v>S-1 Exhibit 10.19</x:v>
      </x:c>
      <x:c r="F127" s="43" t="str">
        <x:v>https://www.sec.gov/Archives/edgar/data/2110365/000119312526395475/ck0002110365-ex10_19.htm</x:v>
      </x:c>
      <x:c r="G127" s="43" t="str">
        <x:v>Nscale review 2026-10-05</x:v>
      </x:c>
      <x:c r="H127" s="43" t="str">
        <x:v>Primary read</x:v>
      </x:c>
      <x:c r="I127" s="43" t="str">
        <x:v>Sections 1.3,3.1-3.4,6.10: customer-supplied equipment, acceptance, delay credits and prepayment refund</x:v>
      </x:c>
    </x:row>
    <x:row r="128">
      <x:c r="A128" s="19" t="str">
        <x:v>SRC-NSCALE-DFS-EX1020</x:v>
      </x:c>
      <x:c r="B128" s="45" t="d">
        <x:v>2026-09-18T00:00:00.000Z</x:v>
      </x:c>
      <x:c r="C128" s="19" t="str">
        <x:v>Nscale / SEC</x:v>
      </x:c>
      <x:c r="D128" s="43" t="str">
        <x:v>Dell Financial Services global framework agreement</x:v>
      </x:c>
      <x:c r="E128" s="43" t="str">
        <x:v>S-1 Exhibit 10.20</x:v>
      </x:c>
      <x:c r="F128" s="43" t="str">
        <x:v>https://www.sec.gov/Archives/edgar/data/2110365/000119312526395475/ck0002110365-ex10_20.htm</x:v>
      </x:c>
      <x:c r="G128" s="43" t="str">
        <x:v>Nscale review 2026-10-05</x:v>
      </x:c>
      <x:c r="H128" s="43" t="str">
        <x:v>Primary read</x:v>
      </x:c>
      <x:c r="I128" s="43" t="str">
        <x:v>Sections 2-8: title, unconditional payments, return, loss and acceleration</x:v>
      </x:c>
    </x:row>
    <x:row r="129">
      <x:c r="A129" s="19" t="str">
        <x:v>SRC-NSCALE-WARD-EX1023</x:v>
      </x:c>
      <x:c r="B129" s="45" t="d">
        <x:v>2026-09-18T00:00:00.000Z</x:v>
      </x:c>
      <x:c r="C129" s="19" t="str">
        <x:v>Nscale / SEC</x:v>
      </x:c>
      <x:c r="D129" s="43" t="str">
        <x:v>Ward County SPV credit agreement</x:v>
      </x:c>
      <x:c r="E129" s="43" t="str">
        <x:v>S-1 Exhibit 10.23</x:v>
      </x:c>
      <x:c r="F129" s="43" t="str">
        <x:v>https://www.sec.gov/Archives/edgar/data/2110365/000119312526395475/ck0002110365-ex10_23.htm</x:v>
      </x:c>
      <x:c r="G129" s="43" t="str">
        <x:v>Nscale review 2026-10-05</x:v>
      </x:c>
      <x:c r="H129" s="43" t="str">
        <x:v>Primary read</x:v>
      </x:c>
      <x:c r="I129" s="43" t="str">
        <x:v>Section 1.01 Term Maturity Date; sections 2.20 cash waterfall and 4.02 credit-event conditions</x:v>
      </x:c>
    </x:row>
    <x:row r="130">
      <x:c r="A130" s="19" t="str">
        <x:v>SRC-NSCALE-NC-EX1024</x:v>
      </x:c>
      <x:c r="B130" s="45" t="d">
        <x:v>2026-09-18T00:00:00.000Z</x:v>
      </x:c>
      <x:c r="C130" s="19" t="str">
        <x:v>Nscale / SEC</x:v>
      </x:c>
      <x:c r="D130" s="43" t="str">
        <x:v>North Carolina SPV credit agreement</x:v>
      </x:c>
      <x:c r="E130" s="43" t="str">
        <x:v>S-1 Exhibit 10.24</x:v>
      </x:c>
      <x:c r="F130" s="43" t="str">
        <x:v>https://www.sec.gov/Archives/edgar/data/2110365/000119312526395475/ck0002110365-ex10_24.htm</x:v>
      </x:c>
      <x:c r="G130" s="43" t="str">
        <x:v>Nscale review 2026-10-05</x:v>
      </x:c>
      <x:c r="H130" s="43" t="str">
        <x:v>Primary read</x:v>
      </x:c>
      <x:c r="I130" s="43" t="str">
        <x:v>Section 1.01 Advance Rate and Term Maturity Date; sections 2.20 and 4.02</x:v>
      </x:c>
    </x:row>
    <x:row r="131">
      <x:c r="A131" s="19" t="str">
        <x:v>SRC-NSCALE-CONVERT-20260925</x:v>
      </x:c>
      <x:c r="B131" s="45" t="d">
        <x:v>2026-09-25T00:00:00.000Z</x:v>
      </x:c>
      <x:c r="C131" s="19" t="str">
        <x:v>Nscale</x:v>
      </x:c>
      <x:c r="D131" s="43" t="str">
        <x:v>Nscale raises $3.36B pre-IPO convertible financing</x:v>
      </x:c>
      <x:c r="E131" s="43" t="str">
        <x:v>issuer_release</x:v>
      </x:c>
      <x:c r="F131" s="43" t="str">
        <x:v>https://www.nscale.com/press-releases/pre-ipo-convertible-financing</x:v>
      </x:c>
      <x:c r="G131" s="43" t="str">
        <x:v>Nscale review 2026-10-05</x:v>
      </x:c>
      <x:c r="H131" s="43" t="str">
        <x:v>Primary read</x:v>
      </x:c>
      <x:c r="I131" s="43" t="str">
        <x:v>Opening paragraph and financing/tranche/conversion paragraph</x:v>
      </x:c>
    </x:row>
    <x:row r="132">
      <x:c r="A132" s="19" t="str">
        <x:v>SRC-NSCALE-DEPLOY-20261001</x:v>
      </x:c>
      <x:c r="B132" s="45" t="d">
        <x:v>2026-10-01T00:00:00.000Z</x:v>
      </x:c>
      <x:c r="C132" s="19" t="str">
        <x:v>Nscale</x:v>
      </x:c>
      <x:c r="D132" s="43" t="str">
        <x:v>Execution at scale: doubling deployments</x:v>
      </x:c>
      <x:c r="E132" s="43" t="str">
        <x:v>issuer_operational_update</x:v>
      </x:c>
      <x:c r="F132" s="43" t="str">
        <x:v>https://www.nscale.com/press-releases/execution-at-scale</x:v>
      </x:c>
      <x:c r="G132" s="43" t="str">
        <x:v>Nscale review 2026-10-05</x:v>
      </x:c>
      <x:c r="H132" s="43" t="str">
        <x:v>Primary read</x:v>
      </x:c>
      <x:c r="I132" s="43" t="str">
        <x:v>Opening two paragraphs: 24000 additional GPUs and over 50000 across six active sites</x:v>
      </x:c>
    </x:row>
    <x:row r="133">
      <x:c r="A133" s="19" t="str">
        <x:v>SRC-NSCALE-SITES-20261005</x:v>
      </x:c>
      <x:c r="B133" s="45"/>
      <x:c r="C133" s="19" t="str">
        <x:v>Nscale</x:v>
      </x:c>
      <x:c r="D133" s="43" t="str">
        <x:v>Nscale AI infrastructure site descriptions</x:v>
      </x:c>
      <x:c r="E133" s="43" t="str">
        <x:v>issuer_site_page</x:v>
      </x:c>
      <x:c r="F133" s="43" t="str">
        <x:v>https://www.nscale.com/ai-infrastructure</x:v>
      </x:c>
      <x:c r="G133" s="43" t="str">
        <x:v>Nscale review 2026-10-05</x:v>
      </x:c>
      <x:c r="H133" s="43" t="str">
        <x:v>Primary read</x:v>
      </x:c>
      <x:c r="I133" s="43" t="str">
        <x:v>Glomfjord; Monarch Compute Campus; Ward County; North Carolina</x:v>
      </x:c>
    </x:row>
    <x:row r="134">
      <x:c r="A134" s="19" t="str">
        <x:v>SRC-NSCALE-SEC-INDEX-20261005</x:v>
      </x:c>
      <x:c r="B134" s="45"/>
      <x:c r="C134" s="19" t="str">
        <x:v>Nscale / SEC</x:v>
      </x:c>
      <x:c r="D134" s="43" t="str">
        <x:v>Nscale SEC submissions index</x:v>
      </x:c>
      <x:c r="E134" s="43" t="str">
        <x:v>regulator_index</x:v>
      </x:c>
      <x:c r="F134" s="43" t="str">
        <x:v>https://data.sec.gov/submissions/CIK0002110365.json</x:v>
      </x:c>
      <x:c r="G134" s="43" t="str">
        <x:v>Nscale review 2026-10-05</x:v>
      </x:c>
      <x:c r="H134" s="43" t="str">
        <x:v>Primary read</x:v>
      </x:c>
      <x:c r="I134" s="43" t="str">
        <x:v>filings.recent: latest public S-1 September 18, 2026; prior DRS amendments</x:v>
      </x:c>
    </x:row>
    <x:row r="135">
      <x:c r="A135" s="19" t="str">
        <x:v>SRC-SPX-424B4-20260612</x:v>
      </x:c>
      <x:c r="B135" s="45" t="d">
        <x:v>2026-06-12T00:00:00.000Z</x:v>
      </x:c>
      <x:c r="C135" s="19" t="str">
        <x:v>Space Exploration Technologies Corp. / SEC</x:v>
      </x:c>
      <x:c r="D135" s="43" t="str">
        <x:v>Final prospectus with FY2025 audited financial statements</x:v>
      </x:c>
      <x:c r="E135" s="43" t="str">
        <x:v>424B4</x:v>
      </x:c>
      <x:c r="F135" s="43" t="str">
        <x:v>https://www.sec.gov/Archives/edgar/data/1181412/000162828026042639/spaceexplorationtechnologi.htm</x:v>
      </x:c>
      <x:c r="G135" s="43" t="str">
        <x:v>xAI / SpaceX review 2026-10-06</x:v>
      </x:c>
      <x:c r="H135" s="43" t="str">
        <x:v>Primary read</x:v>
      </x:c>
      <x:c r="I135" s="43" t="str">
        <x:v>pp. 90,124; F-5; F-63; Note 17 and subsequent-event deal disclosures</x:v>
      </x:c>
    </x:row>
    <x:row r="136">
      <x:c r="A136" s="19" t="str">
        <x:v>SRC-SPX-10Q-Q2FY26</x:v>
      </x:c>
      <x:c r="B136" s="45" t="d">
        <x:v>2026-08-04T00:00:00.000Z</x:v>
      </x:c>
      <x:c r="C136" s="19" t="str">
        <x:v>Space Exploration Technologies Corp. / SEC</x:v>
      </x:c>
      <x:c r="D136" s="43" t="str">
        <x:v>Q2 2026 Form 10-Q</x:v>
      </x:c>
      <x:c r="E136" s="43" t="str">
        <x:v>10-Q</x:v>
      </x:c>
      <x:c r="F136" s="43" t="str">
        <x:v>https://s21.q4cdn.com/184289198/files/doc_financials/2026/q2/dc41a8f3-2234-40ec-95e3-3867336ae181.pdf</x:v>
      </x:c>
      <x:c r="G136" s="43" t="str">
        <x:v>xAI / SpaceX review 2026-10-06</x:v>
      </x:c>
      <x:c r="H136" s="43" t="str">
        <x:v>Primary read</x:v>
      </x:c>
      <x:c r="I136" s="43" t="str">
        <x:v>pp. 12-14,17-21,27,29-31,36,38,44-45 and 51-52</x:v>
      </x:c>
    </x:row>
    <x:row r="137">
      <x:c r="A137" s="19" t="str">
        <x:v>SRC-SPX-Q2FY26-ER</x:v>
      </x:c>
      <x:c r="B137" s="45" t="d">
        <x:v>2026-08-04T00:00:00.000Z</x:v>
      </x:c>
      <x:c r="C137" s="19" t="str">
        <x:v>Space Exploration Technologies Corp.</x:v>
      </x:c>
      <x:c r="D137" s="43" t="str">
        <x:v>SpaceX reports second quarter 2026 results</x:v>
      </x:c>
      <x:c r="E137" s="43" t="str">
        <x:v>earnings_release</x:v>
      </x:c>
      <x:c r="F137" s="43" t="str">
        <x:v>https://s21.q4cdn.com/184289198/files/doc_financials/2026/q2/SpaceX-Reports-Second-Quarter-2026-Results.pdf</x:v>
      </x:c>
      <x:c r="G137" s="43" t="str">
        <x:v>xAI / SpaceX review 2026-10-06</x:v>
      </x:c>
      <x:c r="H137" s="43" t="str">
        <x:v>Primary read</x:v>
      </x:c>
      <x:c r="I137" s="43" t="str">
        <x:v>AI segment results nameplate compute capex cash debt and contracted-sales definition</x:v>
      </x:c>
    </x:row>
    <x:row r="138">
      <x:c r="A138" s="19" t="str">
        <x:v>SRC-SPX-Q2FY26-CALL</x:v>
      </x:c>
      <x:c r="B138" s="45" t="d">
        <x:v>2026-08-04T00:00:00.000Z</x:v>
      </x:c>
      <x:c r="C138" s="19" t="str">
        <x:v>Space Exploration Technologies Corp.</x:v>
      </x:c>
      <x:c r="D138" s="43" t="str">
        <x:v>Q2 2026 earnings call transcript</x:v>
      </x:c>
      <x:c r="E138" s="43" t="str">
        <x:v>earnings_call_transcript</x:v>
      </x:c>
      <x:c r="F138" s="43" t="str">
        <x:v>https://s21.q4cdn.com/184289198/files/doc_financials/2026/q2/SpaceX-Q2-2026-Earnings_Transcript-FINAL.pdf</x:v>
      </x:c>
      <x:c r="G138" s="43" t="str">
        <x:v>xAI / SpaceX review 2026-10-06</x:v>
      </x:c>
      <x:c r="H138" s="43" t="str">
        <x:v>Primary read</x:v>
      </x:c>
      <x:c r="I138" s="43" t="str">
        <x:v>pp. 5-6 and 9-10: cloud ramp nameplate capex financing payback and guidance</x:v>
      </x:c>
    </x:row>
    <x:row r="139">
      <x:c r="A139" s="19" t="str">
        <x:v>SRC-SPX-BOND-20260623</x:v>
      </x:c>
      <x:c r="B139" s="45" t="d">
        <x:v>2026-06-23T00:00:00.000Z</x:v>
      </x:c>
      <x:c r="C139" s="19" t="str">
        <x:v>Space Exploration Technologies Corp.</x:v>
      </x:c>
      <x:c r="D139" s="43" t="str">
        <x:v>SpaceX announces pricing of $25 billion inaugural bond issuance</x:v>
      </x:c>
      <x:c r="E139" s="43" t="str">
        <x:v>issuer_financing_release</x:v>
      </x:c>
      <x:c r="F139" s="43" t="str">
        <x:v>https://ir.spacex.com/updates/releases-details/2026/SpaceX-Announces-Pricing-of-25-Billion-Inaugural-Bond-Issuance-2026-33VwNgsx3O/default.aspx</x:v>
      </x:c>
      <x:c r="G139" s="43" t="str">
        <x:v>xAI / SpaceX review 2026-10-06</x:v>
      </x:c>
      <x:c r="H139" s="43" t="str">
        <x:v>Primary read</x:v>
      </x:c>
      <x:c r="I139" s="43" t="str">
        <x:v>Five tranches coupons and maturities</x:v>
      </x:c>
    </x:row>
    <x:row r="140">
      <x:c r="A140" s="19" t="str">
        <x:v>SRC-XAI-ANTHROPIC-20260506</x:v>
      </x:c>
      <x:c r="B140" s="45" t="d">
        <x:v>2026-05-06T00:00:00.000Z</x:v>
      </x:c>
      <x:c r="C140" s="19" t="str">
        <x:v>SpaceXAI</x:v>
      </x:c>
      <x:c r="D140" s="43" t="str">
        <x:v>New compute partnership with Anthropic</x:v>
      </x:c>
      <x:c r="E140" s="43" t="str">
        <x:v>issuer_customer_announcement</x:v>
      </x:c>
      <x:c r="F140" s="43" t="str">
        <x:v>https://x.ai/news/anthropic-compute-partnership</x:v>
      </x:c>
      <x:c r="G140" s="43" t="str">
        <x:v>xAI / SpaceX review 2026-10-06</x:v>
      </x:c>
      <x:c r="H140" s="43" t="str">
        <x:v>Primary read</x:v>
      </x:c>
      <x:c r="I140" s="43" t="str">
        <x:v>Colossus 1 access for training fine-tuning inference and HPC</x:v>
      </x:c>
    </x:row>
    <x:row r="141">
      <x:c r="A141" s="19" t="str">
        <x:v>SRC-XAI-MEMPHIS-20261006</x:v>
      </x:c>
      <x:c r="B141" s="45"/>
      <x:c r="C141" s="19" t="str">
        <x:v>SpaceXAI</x:v>
      </x:c>
      <x:c r="D141" s="43" t="str">
        <x:v>Memphis information center and fact-versus-fiction pages</x:v>
      </x:c>
      <x:c r="E141" s="43" t="str">
        <x:v>issuer_site_pages</x:v>
      </x:c>
      <x:c r="F141" s="43" t="str">
        <x:v>https://x.ai/memphis/info</x:v>
      </x:c>
      <x:c r="G141" s="43" t="str">
        <x:v>xAI / SpaceX review 2026-10-06</x:v>
      </x:c>
      <x:c r="H141" s="43" t="str">
        <x:v>Primary read</x:v>
      </x:c>
      <x:c r="I141" s="43" t="str">
        <x:v>No measured matched facility energy IT energy utilization or PUE</x:v>
      </x:c>
    </x:row>
    <x:row r="142">
      <x:c r="A142" s="19" t="str">
        <x:v>SRC-OPENAI-COMPUTE-INFRA-20260429</x:v>
      </x:c>
      <x:c r="B142" s="45" t="d">
        <x:v>2026-04-29T00:00:00.000Z</x:v>
      </x:c>
      <x:c r="C142" s="19" t="str">
        <x:v>OpenAI</x:v>
      </x:c>
      <x:c r="D142" s="43" t="str">
        <x:v>Building the compute infrastructure for the Intelligence Age</x:v>
      </x:c>
      <x:c r="E142" s="43" t="str">
        <x:v>issuer_infrastructure_update</x:v>
      </x:c>
      <x:c r="F142" s="43" t="str">
        <x:v>https://openai.com/index/building-the-compute-infrastructure-for-the-intelligence-age/</x:v>
      </x:c>
      <x:c r="G142" s="43" t="str">
        <x:v>OpenAI / Stargate review 2026-10-07</x:v>
      </x:c>
      <x:c r="H142" s="43" t="str">
        <x:v>Primary read</x:v>
      </x:c>
      <x:c r="I142" s="43" t="str">
        <x:v>10 GW commitment and recent additions; Abilene operations and cooling</x:v>
      </x:c>
    </x:row>
    <x:row r="143">
      <x:c r="A143" s="19" t="str">
        <x:v>SRC-CRUSOE-IMPACT-20260528</x:v>
      </x:c>
      <x:c r="B143" s="45" t="d">
        <x:v>2026-05-28T00:00:00.000Z</x:v>
      </x:c>
      <x:c r="C143" s="19" t="str">
        <x:v>Crusoe</x:v>
      </x:c>
      <x:c r="D143" s="43" t="str">
        <x:v>Crusoe's 2025 Impact Report</x:v>
      </x:c>
      <x:c r="E143" s="43" t="str">
        <x:v>developer_sustainability_report</x:v>
      </x:c>
      <x:c r="F143" s="43" t="str">
        <x:v>https://www.crusoe.ai/resources/blog/crusoes-2025-impact-report</x:v>
      </x:c>
      <x:c r="G143" s="43" t="str">
        <x:v>OpenAI / Stargate review 2026-10-07</x:v>
      </x:c>
      <x:c r="H143" s="43" t="str">
        <x:v>Primary read</x:v>
      </x:c>
      <x:c r="I143" s="43" t="str">
        <x:v>Abilene annualized design PUE 1.2-1.4; not measured operational PUE</x:v>
      </x:c>
    </x:row>
    <x:row r="144">
      <x:c r="A144" s="19" t="str">
        <x:v>SRC-CRUSOE-CAPACITY-20260609</x:v>
      </x:c>
      <x:c r="B144" s="45" t="d">
        <x:v>2026-06-09T00:00:00.000Z</x:v>
      </x:c>
      <x:c r="C144" s="19" t="str">
        <x:v>Crusoe</x:v>
      </x:c>
      <x:c r="D144" s="43" t="str">
        <x:v>Crusoe's contracted AI infrastructure capacity approaches 5 gigawatts</x:v>
      </x:c>
      <x:c r="E144" s="43" t="str">
        <x:v>developer_operational_update</x:v>
      </x:c>
      <x:c r="F144" s="43" t="str">
        <x:v>https://www.crusoe.ai/resources/newsroom/crusoes-contracted-ai-infrastructure-capacity-approaches-5-gigawatts-across-data-centers-and-cloud</x:v>
      </x:c>
      <x:c r="G144" s="43" t="str">
        <x:v>OpenAI / Stargate review 2026-10-07</x:v>
      </x:c>
      <x:c r="H144" s="43" t="str">
        <x:v>Primary read</x:v>
      </x:c>
      <x:c r="I144" s="43" t="str">
        <x:v>Abilene 1.2GW for Oracle; first two buildings operational and six under construction</x:v>
      </x:c>
    </x:row>
    <x:row r="145">
      <x:c r="A145" s="19" t="str">
        <x:v>SRC-OPENAI-FUNDING-20260227</x:v>
      </x:c>
      <x:c r="B145" s="45" t="d">
        <x:v>2026-02-27T00:00:00.000Z</x:v>
      </x:c>
      <x:c r="C145" s="19" t="str">
        <x:v>OpenAI</x:v>
      </x:c>
      <x:c r="D145" s="43" t="str">
        <x:v>Scaling AI for everyone</x:v>
      </x:c>
      <x:c r="E145" s="43" t="str">
        <x:v>issuer_financing_announcement</x:v>
      </x:c>
      <x:c r="F145" s="43" t="str">
        <x:v>https://openai.com/index/scaling-ai-for-everyone/</x:v>
      </x:c>
      <x:c r="G145" s="43" t="str">
        <x:v>OpenAI / Stargate review 2026-10-07</x:v>
      </x:c>
      <x:c r="H145" s="43" t="str">
        <x:v>Primary read</x:v>
      </x:c>
      <x:c r="I145" s="43" t="str">
        <x:v>$110B investment at $730B pre-money valuation</x:v>
      </x:c>
    </x:row>
    <x:row r="146">
      <x:c r="A146" s="19" t="str">
        <x:v>SRC-SBG-AR-FY26-20260727</x:v>
      </x:c>
      <x:c r="B146" s="45" t="d">
        <x:v>2026-07-27T00:00:00.000Z</x:v>
      </x:c>
      <x:c r="C146" s="19" t="str">
        <x:v>SoftBank Group Corp.</x:v>
      </x:c>
      <x:c r="D146" s="43" t="str">
        <x:v>Annual Report FY2026</x:v>
      </x:c>
      <x:c r="E146" s="43" t="str">
        <x:v>annual_report</x:v>
      </x:c>
      <x:c r="F146" s="43" t="str">
        <x:v>https://group.softbank/media/Project/sbg/sbg/pdf/ir/financials/annual_reports/annual-report_fy2026_en.pdf</x:v>
      </x:c>
      <x:c r="G146" s="43" t="str">
        <x:v>OpenAI / Stargate review 2026-10-07</x:v>
      </x:c>
      <x:c r="H146" s="43" t="str">
        <x:v>Primary read</x:v>
      </x:c>
      <x:c r="I146" s="43" t="str">
        <x:v>PDF pp.25,74,103: OpenAI investment bridge financing and Stargate exposure</x:v>
      </x:c>
    </x:row>
    <x:row r="147">
      <x:c r="A147" s="19" t="str">
        <x:v>SRC-SBG-Q1FY26-20260806</x:v>
      </x:c>
      <x:c r="B147" s="45" t="d">
        <x:v>2026-08-06T00:00:00.000Z</x:v>
      </x:c>
      <x:c r="C147" s="19" t="str">
        <x:v>SoftBank Group Corp.</x:v>
      </x:c>
      <x:c r="D147" s="43" t="str">
        <x:v>Consolidated Financial Report for the Three-Month Period Ended June 30 2026</x:v>
      </x:c>
      <x:c r="E147" s="43" t="str">
        <x:v>quarterly_financial_report</x:v>
      </x:c>
      <x:c r="F147" s="43" t="str">
        <x:v>https://group.softbank/media/Project/sbg/sbg/pdf/ir/financials/financial_reports/financial-report_q1fy2026_01_en.pdf</x:v>
      </x:c>
      <x:c r="G147" s="43" t="str">
        <x:v>OpenAI / Stargate review 2026-10-07</x:v>
      </x:c>
      <x:c r="H147" s="43" t="str">
        <x:v>Primary read</x:v>
      </x:c>
      <x:c r="I147" s="43" t="str">
        <x:v>PDF pp.69-70: tranche schedule bridge and mandatory-prepayment linkage</x:v>
      </x:c>
    </x:row>
    <x:row r="148">
      <x:c r="A148" s="19" t="str">
        <x:v>SRC-SBG-OPENAI-20261001</x:v>
      </x:c>
      <x:c r="B148" s="45" t="d">
        <x:v>2026-10-01T00:00:00.000Z</x:v>
      </x:c>
      <x:c r="C148" s="19" t="str">
        <x:v>SoftBank Group Corp.</x:v>
      </x:c>
      <x:c r="D148" s="43" t="str">
        <x:v>Third closing of additional investment in OpenAI</x:v>
      </x:c>
      <x:c r="E148" s="43" t="str">
        <x:v>issuer_financing_update</x:v>
      </x:c>
      <x:c r="F148" s="43" t="str">
        <x:v>https://group.softbank/en/news/press/20261001</x:v>
      </x:c>
      <x:c r="G148" s="43" t="str">
        <x:v>OpenAI / Stargate review 2026-10-07</x:v>
      </x:c>
      <x:c r="H148" s="43" t="str">
        <x:v>Primary read</x:v>
      </x:c>
      <x:c r="I148" s="43" t="str">
        <x:v>$64.6B cumulative investment; bridge repaid and cancelled</x:v>
      </x:c>
    </x:row>
    <x:row r="149">
      <x:c r="A149" s="19" t="str">
        <x:v>SRC-ORCL-10Q-Q1FY27</x:v>
      </x:c>
      <x:c r="B149" s="45" t="d">
        <x:v>2026-09-11T00:00:00.000Z</x:v>
      </x:c>
      <x:c r="C149" s="19" t="str">
        <x:v>Oracle Corporation / SEC</x:v>
      </x:c>
      <x:c r="D149" s="43" t="str">
        <x:v>Oracle Q1 FY2027 Form 10-Q</x:v>
      </x:c>
      <x:c r="E149" s="43" t="str">
        <x:v>10-Q</x:v>
      </x:c>
      <x:c r="F149" s="43" t="str">
        <x:v>https://www.sec.gov/Archives/edgar/data/1341439/000119312526389274/orcl-20260831.htm</x:v>
      </x:c>
      <x:c r="G149" s="43" t="str">
        <x:v>OpenAI / Stargate review 2026-10-07</x:v>
      </x:c>
      <x:c r="H149" s="43" t="str">
        <x:v>Primary read</x:v>
      </x:c>
      <x:c r="I149" s="43" t="str">
        <x:v>Commitments prepayments cash flows and RPO; consolidated not wholly Stargate</x:v>
      </x:c>
    </x:row>
    <x:row r="150">
      <x:c r="A150" s="19" t="str">
        <x:v>SRC-BLUEOWL-10Q-Q2FY26</x:v>
      </x:c>
      <x:c r="B150" s="45" t="d">
        <x:v>2026-07-31T00:00:00.000Z</x:v>
      </x:c>
      <x:c r="C150" s="19" t="str">
        <x:v>Blue Owl Capital Inc. / SEC</x:v>
      </x:c>
      <x:c r="D150" s="43" t="str">
        <x:v>Blue Owl Q2 2026 Form 10-Q</x:v>
      </x:c>
      <x:c r="E150" s="43" t="str">
        <x:v>10-Q</x:v>
      </x:c>
      <x:c r="F150" s="43" t="str">
        <x:v>https://www.sec.gov/Archives/edgar/data/1823945/000182394526000040/owl-20260630.htm</x:v>
      </x:c>
      <x:c r="G150" s="43" t="str">
        <x:v>OpenAI / Stargate review 2026-10-07</x:v>
      </x:c>
      <x:c r="H150" s="43" t="str">
        <x:v>Primary read</x:v>
      </x:c>
      <x:c r="I150" s="43" t="str">
        <x:v>No Abilene project-level economics identified</x:v>
      </x:c>
    </x:row>
    <x:row r="151">
      <x:c r="A151" s="19" t="str">
        <x:v>SRC-DAC-JUPITER-IRB</x:v>
      </x:c>
      <x:c r="B151" s="45"/>
      <x:c r="C151" s="19" t="str">
        <x:v>Dona Ana County New Mexico</x:v>
      </x:c>
      <x:c r="D151" s="43" t="str">
        <x:v>Project Jupiter IRB Series 2025A executed and recorded ordinance</x:v>
      </x:c>
      <x:c r="E151" s="43" t="str">
        <x:v>county_irb_ordinance</x:v>
      </x:c>
      <x:c r="F151" s="43" t="str">
        <x:v>https://cms2.revize.com/revize/donaanacounty/Documents/About%20Us/Economic%20Development%20Projects/IRB%20Series%202025A%20-%20Executed%20%26%20Recorded.pdf?t=202606101848290</x:v>
      </x:c>
      <x:c r="G151" s="43" t="str">
        <x:v>OpenAI / Stargate review 2026-10-07</x:v>
      </x:c>
      <x:c r="H151" s="43" t="str">
        <x:v>Primary read</x:v>
      </x:c>
      <x:c r="I151" s="43" t="str">
        <x:v>$165B authorization ceiling; not proof of funded cash</x:v>
      </x:c>
    </x:row>
    <x:row r="152">
      <x:c r="A152" s="19" t="str">
        <x:v>SRC-ORCL-JUPITER-20260728</x:v>
      </x:c>
      <x:c r="B152" s="45" t="d">
        <x:v>2026-07-28T00:00:00.000Z</x:v>
      </x:c>
      <x:c r="C152" s="19" t="str">
        <x:v>Oracle Corporation</x:v>
      </x:c>
      <x:c r="D152" s="43" t="str">
        <x:v>Project Jupiter brings AI infrastructure investment to New Mexico</x:v>
      </x:c>
      <x:c r="E152" s="43" t="str">
        <x:v>issuer_project_announcement</x:v>
      </x:c>
      <x:c r="F152" s="43" t="str">
        <x:v>https://www.oracle.com/news/announcement/project-jupiter-2026-07-28/</x:v>
      </x:c>
      <x:c r="G152" s="43" t="str">
        <x:v>OpenAI / Stargate review 2026-10-07</x:v>
      </x:c>
      <x:c r="H152" s="43" t="str">
        <x:v>Primary read</x:v>
      </x:c>
      <x:c r="I152" s="43" t="str">
        <x:v>Project projections conditional on air permit and pipeline approval</x:v>
      </x:c>
    </x:row>
    <x:row r="153">
      <x:c r="A153" s="19" t="str">
        <x:v>SRC-NMED-JUPITER-20261007</x:v>
      </x:c>
      <x:c r="B153" s="45" t="d">
        <x:v>2026-10-07T00:00:00.000Z</x:v>
      </x:c>
      <x:c r="C153" s="19" t="str">
        <x:v>New Mexico Environment Department</x:v>
      </x:c>
      <x:c r="D153" s="43" t="str">
        <x:v>Project Jupiter YGI Microgrid air-permit public notice status</x:v>
      </x:c>
      <x:c r="E153" s="43" t="str">
        <x:v>regulator_status_notice</x:v>
      </x:c>
      <x:c r="F153" s="43" t="str">
        <x:v>https://www.env.nm.gov/</x:v>
      </x:c>
      <x:c r="G153" s="43" t="str">
        <x:v>OpenAI / Stargate review 2026-10-07</x:v>
      </x:c>
      <x:c r="H153" s="43" t="str">
        <x:v>Primary read</x:v>
      </x:c>
      <x:c r="I153" s="43" t="str">
        <x:v>Public-comment item marked stayed by New Mexico Supreme Court</x:v>
      </x:c>
    </x:row>
    <x:row r="154">
      <x:c r="A154" s="19" t="str">
        <x:v>SRC-NMED-JUPITER-DOCKET-20261007</x:v>
      </x:c>
      <x:c r="B154" s="45" t="d">
        <x:v>2026-10-07T00:00:00.000Z</x:v>
      </x:c>
      <x:c r="C154" s="19" t="str">
        <x:v>New Mexico Environment Department</x:v>
      </x:c>
      <x:c r="D154" s="43" t="str">
        <x:v>Yucca Growth Infrastructure LLC microgrid permit docket</x:v>
      </x:c>
      <x:c r="E154" s="43" t="str">
        <x:v>regulator_permit_docket</x:v>
      </x:c>
      <x:c r="F154" s="43" t="str">
        <x:v>https://www.env.nm.gov/public-notices/yucca-growth-infrastructure-llc-ygi-microgrid/</x:v>
      </x:c>
      <x:c r="G154" s="43" t="str">
        <x:v>OpenAI / Stargate review 2026-10-07</x:v>
      </x:c>
      <x:c r="H154" s="43" t="str">
        <x:v>Primary read</x:v>
      </x:c>
      <x:c r="I154" s="43" t="str">
        <x:v>Application revisions draft permit and hearing notices</x:v>
      </x:c>
    </x:row>
    <x:row r="155">
      <x:c r="A155" s="19" t="str">
        <x:v>SRC-FT-JUPITER-20260924</x:v>
      </x:c>
      <x:c r="B155" s="45" t="d">
        <x:v>2026-09-24T00:00:00.000Z</x:v>
      </x:c>
      <x:c r="C155" s="19" t="str">
        <x:v>Financial Times Alphaville</x:v>
      </x:c>
      <x:c r="D155" s="43" t="str">
        <x:v>Oracle's New Mexico data-centre financing comes under pressure</x:v>
      </x:c>
      <x:c r="E155" s="43" t="str">
        <x:v>secondary_financing_report</x:v>
      </x:c>
      <x:c r="F155" s="43" t="str">
        <x:v>https://www.ft.com/content/82dbd39c-f8dd-4ef1-8a80-d430a22579bd</x:v>
      </x:c>
      <x:c r="G155" s="43" t="str">
        <x:v>OpenAI / Stargate review 2026-10-07</x:v>
      </x:c>
      <x:c r="H155" s="43" t="str">
        <x:v>Secondary read</x:v>
      </x:c>
      <x:c r="I155" s="43" t="str">
        <x:v>Approx. $18B loans reported at 89-91; not independently verified</x:v>
      </x:c>
    </x:row>
    <x:row r="156">
      <x:c r="A156" s="19" t="str">
        <x:v>SRC-NVDA-10K-FY26</x:v>
      </x:c>
      <x:c r="B156" s="45" t="d">
        <x:v>2026-02-25T00:00:00.000Z</x:v>
      </x:c>
      <x:c r="C156" s="19" t="str">
        <x:v>NVIDIA / SEC</x:v>
      </x:c>
      <x:c r="D156" s="43" t="str">
        <x:v>FY2026 Form 10-K</x:v>
      </x:c>
      <x:c r="E156" s="43" t="str">
        <x:v>10-K</x:v>
      </x:c>
      <x:c r="F156" s="43" t="str">
        <x:v>https://www.sec.gov/Archives/edgar/data/1045810/000104581026000021/nvda-20260125.htm</x:v>
      </x:c>
      <x:c r="G156" s="43" t="str">
        <x:v>NVIDIA supplier economics and financing</x:v>
      </x:c>
      <x:c r="H156" s="43" t="str">
        <x:v>Primary read</x:v>
      </x:c>
      <x:c r="I156" s="43" t="str">
        <x:v>Note 10 p69 facility guarantees; Note 12 p70 commitments; Item 8 financial statements</x:v>
      </x:c>
    </x:row>
    <x:row r="157">
      <x:c r="A157" s="19" t="str">
        <x:v>SRC-NVDA-10Q-Q2FY27</x:v>
      </x:c>
      <x:c r="B157" s="45" t="d">
        <x:v>2026-08-26T00:00:00.000Z</x:v>
      </x:c>
      <x:c r="C157" s="19" t="str">
        <x:v>NVIDIA / SEC</x:v>
      </x:c>
      <x:c r="D157" s="43" t="str">
        <x:v>Q2 FY2027 Form 10-Q</x:v>
      </x:c>
      <x:c r="E157" s="43" t="str">
        <x:v>10-Q</x:v>
      </x:c>
      <x:c r="F157" s="43" t="str">
        <x:v>https://www.sec.gov/Archives/edgar/data/1045810/000104581026000075/nvda-20260726.htm</x:v>
      </x:c>
      <x:c r="G157" s="43" t="str">
        <x:v>NVIDIA supplier economics and financing</x:v>
      </x:c>
      <x:c r="H157" s="43" t="str">
        <x:v>Primary read</x:v>
      </x:c>
      <x:c r="I157" s="43" t="str">
        <x:v>Notes 6-10 pp13-19; MD&amp;A pp25-27; Item 6 p42</x:v>
      </x:c>
    </x:row>
    <x:row r="158">
      <x:c r="A158" s="19" t="str">
        <x:v>SRC-NVDA-CFO-Q2FY27</x:v>
      </x:c>
      <x:c r="B158" s="45" t="d">
        <x:v>2026-08-26T00:00:00.000Z</x:v>
      </x:c>
      <x:c r="C158" s="19" t="str">
        <x:v>NVIDIA / SEC</x:v>
      </x:c>
      <x:c r="D158" s="43" t="str">
        <x:v>Q2 FY2027 CFO commentary</x:v>
      </x:c>
      <x:c r="E158" s="43" t="str">
        <x:v>8-K exhibit</x:v>
      </x:c>
      <x:c r="F158" s="43" t="str">
        <x:v>https://www.sec.gov/Archives/edgar/data/1045810/000104581026000073/q2fy27cfocommentary.htm</x:v>
      </x:c>
      <x:c r="G158" s="43" t="str">
        <x:v>NVIDIA supplier economics and financing</x:v>
      </x:c>
      <x:c r="H158" s="43" t="str">
        <x:v>Primary read</x:v>
      </x:c>
      <x:c r="I158" s="43" t="str">
        <x:v>Revenue by Market Platform; Commitments; Additional Commitments; Guarantees; Balance Sheet and Cash Flow</x:v>
      </x:c>
    </x:row>
    <x:row r="159">
      <x:c r="A159" s="19" t="str">
        <x:v>SRC-NVDA-PORTS-20260817</x:v>
      </x:c>
      <x:c r="B159" s="45" t="d">
        <x:v>2026-08-17T00:00:00.000Z</x:v>
      </x:c>
      <x:c r="C159" s="19" t="str">
        <x:v>NVIDIA</x:v>
      </x:c>
      <x:c r="D159" s="43" t="str">
        <x:v>PORTS-Pike credit support announcement</x:v>
      </x:c>
      <x:c r="E159" s="43" t="str">
        <x:v>issuer_release</x:v>
      </x:c>
      <x:c r="F159" s="43" t="str">
        <x:v>https://investor.nvidia.com/news/press-release-details/2026/NVIDIA-Guarantees-SB-Energys-PORTS-Pike-Technology-Campus-in-Ohio-to-Exclusively-Host-NVIDIA-AI-Compute/default.aspx</x:v>
      </x:c>
      <x:c r="G159" s="43" t="str">
        <x:v>NVIDIA supplier economics and financing</x:v>
      </x:c>
      <x:c r="H159" s="43" t="str">
        <x:v>Primary read</x:v>
      </x:c>
      <x:c r="I159" s="43" t="str">
        <x:v>News Summary and opening paragraphs; initial 4.25 IT-GW and optional 3.75 IT-GW</x:v>
      </x:c>
    </x:row>
    <x:row r="160">
      <x:c r="A160" s="19" t="str">
        <x:v>SRC-NVDA-FINANCE-MOU-20260810</x:v>
      </x:c>
      <x:c r="B160" s="45" t="d">
        <x:v>2026-08-10T00:00:00.000Z</x:v>
      </x:c>
      <x:c r="C160" s="19" t="str">
        <x:v>Blackstone / NVIDIA</x:v>
      </x:c>
      <x:c r="D160" s="43" t="str">
        <x:v>Independent AI compute financing platform MOUs</x:v>
      </x:c>
      <x:c r="E160" s="43" t="str">
        <x:v>counterparty_release</x:v>
      </x:c>
      <x:c r="F160" s="43" t="str">
        <x:v>https://www.blackstone.com/news/press/nvidia-partners-with-apollo-blackrock-blackstone-brookfield-goldman-sachs-and-kkr-to-establish-ai-compute-infrastructure-financing-platforms-to-mobilize-over-500-billion-of-third-party-capital/</x:v>
      </x:c>
      <x:c r="G160" s="43" t="str">
        <x:v>NVIDIA supplier economics and financing</x:v>
      </x:c>
      <x:c r="H160" s="43" t="str">
        <x:v>Primary read</x:v>
      </x:c>
      <x:c r="I160" s="43" t="str">
        <x:v>Opening three paragraphs; Forward-Looking Statements</x:v>
      </x:c>
    </x:row>
    <x:row r="161">
      <x:c r="A161" s="19" t="str">
        <x:v>SRC-NVDA-NOTES-20260618</x:v>
      </x:c>
      <x:c r="B161" s="45" t="d">
        <x:v>2026-06-18T00:00:00.000Z</x:v>
      </x:c>
      <x:c r="C161" s="19" t="str">
        <x:v>NVIDIA / SEC</x:v>
      </x:c>
      <x:c r="D161" s="43" t="str">
        <x:v>Officers certificate and seven note forms</x:v>
      </x:c>
      <x:c r="E161" s="43" t="str">
        <x:v>8-K exhibit 4.2</x:v>
      </x:c>
      <x:c r="F161" s="43" t="str">
        <x:v>https://www.sec.gov/Archives/edgar/data/1045810/000119312526275783/d48176dex42.htm</x:v>
      </x:c>
      <x:c r="G161" s="43" t="str">
        <x:v>NVIDIA supplier economics and financing</x:v>
      </x:c>
      <x:c r="H161" s="43" t="str">
        <x:v>Primary read</x:v>
      </x:c>
      <x:c r="I161" s="43" t="str">
        <x:v>Sections establishing each series: Initial Aggregate Principal Amount, Maturity, Rate of Interest; Annexes A-G</x:v>
      </x:c>
    </x:row>
    <x:row r="162">
      <x:c r="A162" s="19" t="str">
        <x:v>SRC-NVDA-EARNINGS-Q2FY27</x:v>
      </x:c>
      <x:c r="B162" s="45" t="d">
        <x:v>2026-08-26T00:00:00.000Z</x:v>
      </x:c>
      <x:c r="C162" s="19" t="str">
        <x:v>NVIDIA</x:v>
      </x:c>
      <x:c r="D162" s="43" t="str">
        <x:v>Q2 FY2027 financial results</x:v>
      </x:c>
      <x:c r="E162" s="43" t="str">
        <x:v>earnings_release</x:v>
      </x:c>
      <x:c r="F162" s="43" t="str">
        <x:v>https://investor.nvidia.com/news/press-release-details/2026/NVIDIA-Announces-Financial-Results-for-Second-Quarter-Fiscal-2027/default.aspx</x:v>
      </x:c>
      <x:c r="G162" s="43" t="str">
        <x:v>NVIDIA supplier economics and financing</x:v>
      </x:c>
      <x:c r="H162" s="43" t="str">
        <x:v>Primary read</x:v>
      </x:c>
      <x:c r="I162" s="43" t="str">
        <x:v>Opening results; Q2 summary; cash-flow statement</x:v>
      </x:c>
    </x:row>
    <x:row r="163">
      <x:c r="A163" s="19" t="str">
        <x:v>SRC-NVDA-EARNINGS-FY26</x:v>
      </x:c>
      <x:c r="B163" s="45" t="d">
        <x:v>2026-02-25T00:00:00.000Z</x:v>
      </x:c>
      <x:c r="C163" s="19" t="str">
        <x:v>NVIDIA</x:v>
      </x:c>
      <x:c r="D163" s="43" t="str">
        <x:v>Q4 and FY2026 financial results</x:v>
      </x:c>
      <x:c r="E163" s="43" t="str">
        <x:v>earnings_release</x:v>
      </x:c>
      <x:c r="F163" s="43" t="str">
        <x:v>https://investor.nvidia.com/news/press-release-details/2026/NVIDIA-Announces-Financial-Results-for-Fourth-Quarter-and-Fiscal-2026/</x:v>
      </x:c>
      <x:c r="G163" s="43" t="str">
        <x:v>NVIDIA supplier economics and financing</x:v>
      </x:c>
      <x:c r="H163" s="43" t="str">
        <x:v>Primary read</x:v>
      </x:c>
      <x:c r="I163" s="43" t="str">
        <x:v>Fiscal 2026 Summary; Data Center highlights</x:v>
      </x:c>
    </x:row>
    <x:row r="164">
      <x:c r="A164" s="19" t="str">
        <x:v>SRC-IREN-DELL-EX991-20260526</x:v>
      </x:c>
      <x:c r="B164" s="45" t="d">
        <x:v>2026-05-26T00:00:00.000Z</x:v>
      </x:c>
      <x:c r="C164" s="19" t="str">
        <x:v>IREN / SEC</x:v>
      </x:c>
      <x:c r="D164" s="43" t="str">
        <x:v>Dell Blackwell deployment at Childress</x:v>
      </x:c>
      <x:c r="E164" s="43" t="str">
        <x:v>8-K exhibit 99.1</x:v>
      </x:c>
      <x:c r="F164" s="43" t="str">
        <x:v>https://www.sec.gov/Archives/edgar/data/1878848/000187884826000030/irentrgts44bninarrwithbl.htm</x:v>
      </x:c>
      <x:c r="G164" s="43" t="str">
        <x:v>NVIDIA supplier economics and financing</x:v>
      </x:c>
      <x:c r="H164" s="43" t="str">
        <x:v>Primary read</x:v>
      </x:c>
      <x:c r="I164" s="43" t="str">
        <x:v>Ex99.1 pp1-2; related 8-K Item1.01: IREN parent guarantees subsidiary Dell obligations</x:v>
      </x:c>
    </x:row>
    <x:row r="165">
      <x:c r="A165" s="19" t="str">
        <x:v>SRC-XAI-DB-ZH-20261010</x:v>
      </x:c>
      <x:c r="B165" s="45" t="d">
        <x:v>2026-10-10T00:00:00.000Z</x:v>
      </x:c>
      <x:c r="C165" s="19" t="str">
        <x:v>Deutsche Bank Research / ZeroHedge excerpt supplied by user</x:v>
      </x:c>
      <x:c r="D165" s="43" t="str">
        <x:v>SpaceX compute capacity, neocloud deal economics, and annual revenue per GW figures</x:v>
      </x:c>
      <x:c r="E165" s="43" t="str">
        <x:v>User-supplied research screenshots</x:v>
      </x:c>
      <x:c r="F165" s="43"/>
      <x:c r="G165" s="43" t="str">
        <x:v>xAI / SpaceX compute curve; generation density; hosting $/MW; time-to-MW</x:v>
      </x:c>
      <x:c r="H165" s="43" t="str">
        <x:v>Attributed secondary excerpt</x:v>
      </x:c>
      <x:c r="I165" s="43" t="str">
        <x:v>Raw transcription in raw/2026-10-10-spacex-db-compute-curve.md; underlying bank notes not independently accessed</x:v>
      </x:c>
    </x:row>
    <x:row r="166">
      <x:c r="A166" s="19" t="str">
        <x:v>SRC-AVGO-10K-FY25</x:v>
      </x:c>
      <x:c r="B166" s="45" t="d">
        <x:v>2025-12-18T00:00:00.000Z</x:v>
      </x:c>
      <x:c r="C166" s="19" t="str">
        <x:v>Broadcom / SEC</x:v>
      </x:c>
      <x:c r="D166" s="43" t="str">
        <x:v>Broadcom fiscal 2025 Form 10-K</x:v>
      </x:c>
      <x:c r="E166" s="43" t="str">
        <x:v>10-K</x:v>
      </x:c>
      <x:c r="F166" s="43" t="str">
        <x:v>https://www.sec.gov/Archives/edgar/data/1730168/000173016825000121/avgo-20251102.htm</x:v>
      </x:c>
      <x:c r="G166" s="43" t="str">
        <x:v>Broadcom supplier economics and contract baseline</x:v>
      </x:c>
      <x:c r="H166" s="43" t="str">
        <x:v>Primary read</x:v>
      </x:c>
      <x:c r="I166" s="43" t="str">
        <x:v>Business AI perimeter pp4-7; Risk Factors pp16-19; Note 3 RPO p59; Note 14 commitments and concentration p85</x:v>
      </x:c>
    </x:row>
    <x:row r="167">
      <x:c r="A167" s="19" t="str">
        <x:v>SRC-AVGO-10Q-Q3FY26</x:v>
      </x:c>
      <x:c r="B167" s="45" t="d">
        <x:v>2026-09-10T00:00:00.000Z</x:v>
      </x:c>
      <x:c r="C167" s="19" t="str">
        <x:v>Broadcom / SEC</x:v>
      </x:c>
      <x:c r="D167" s="43" t="str">
        <x:v>Broadcom Q3 fiscal 2026 Form 10-Q</x:v>
      </x:c>
      <x:c r="E167" s="43" t="str">
        <x:v>10-Q</x:v>
      </x:c>
      <x:c r="F167" s="43" t="str">
        <x:v>https://www.sec.gov/Archives/edgar/data/1730168/000173016826000080/avgo-20260802.htm</x:v>
      </x:c>
      <x:c r="G167" s="43" t="str">
        <x:v>Broadcom supplier economics commitments and financing</x:v>
      </x:c>
      <x:c r="H167" s="43" t="str">
        <x:v>Primary read</x:v>
      </x:c>
      <x:c r="I167" s="43" t="str">
        <x:v>Note 2 RPO pp9-10; Note 10 commitments guarantee and notes pp20-21; MD&amp;A pp27-31; Risk Factors pp36-43</x:v>
      </x:c>
    </x:row>
    <x:row r="168">
      <x:c r="A168" s="19" t="str">
        <x:v>SRC-AVGO-EARNINGS-Q3FY26</x:v>
      </x:c>
      <x:c r="B168" s="45" t="d">
        <x:v>2026-09-02T00:00:00.000Z</x:v>
      </x:c>
      <x:c r="C168" s="19" t="str">
        <x:v>Broadcom / SEC</x:v>
      </x:c>
      <x:c r="D168" s="43" t="str">
        <x:v>Broadcom Q3 fiscal 2026 financial results</x:v>
      </x:c>
      <x:c r="E168" s="43" t="str">
        <x:v>8-K exhibit 99.1</x:v>
      </x:c>
      <x:c r="F168" s="43" t="str">
        <x:v>https://www.sec.gov/Archives/edgar/data/1730168/000173016826000076/avgo-08022026x8kxex99.htm</x:v>
      </x:c>
      <x:c r="G168" s="43" t="str">
        <x:v>Broadcom AI revenue and cash flow</x:v>
      </x:c>
      <x:c r="H168" s="43" t="str">
        <x:v>Primary read</x:v>
      </x:c>
      <x:c r="I168" s="43" t="str">
        <x:v>Exhibit 99.1 pp1-3: AI semiconductor revenue segment revenue cash flow capex and Q4 guidance</x:v>
      </x:c>
    </x:row>
    <x:row r="169">
      <x:c r="A169" s="19" t="str">
        <x:v>SRC-AVGO-XPV-20260609</x:v>
      </x:c>
      <x:c r="B169" s="45" t="d">
        <x:v>2026-06-09T00:00:00.000Z</x:v>
      </x:c>
      <x:c r="C169" s="19" t="str">
        <x:v>Broadcom</x:v>
      </x:c>
      <x:c r="D169" s="43" t="str">
        <x:v>Broadcom Apollo and Blackstone AI XPV platform</x:v>
      </x:c>
      <x:c r="E169" s="43" t="str">
        <x:v>issuer_release</x:v>
      </x:c>
      <x:c r="F169" s="43" t="str">
        <x:v>https://investors.broadcom.com/news-releases/news-release-details/broadcom-apollo-and-blackstone-establish-landmark-strategic</x:v>
      </x:c>
      <x:c r="G169" s="43" t="str">
        <x:v>Broadcom rack-financing platform and capacity</x:v>
      </x:c>
      <x:c r="H169" s="43" t="str">
        <x:v>Primary read</x:v>
      </x:c>
      <x:c r="I169" s="43" t="str">
        <x:v>Opening: more than 20GW platform; $35B initial tranche for more than 1GW Anthropic capacity at Fluidstack</x:v>
      </x:c>
    </x:row>
    <x:row r="170">
      <x:c r="A170" s="19" t="str">
        <x:v>SRC-APOLLO-AVGO-XPV-20260609</x:v>
      </x:c>
      <x:c r="B170" s="45" t="d">
        <x:v>2026-06-09T00:00:00.000Z</x:v>
      </x:c>
      <x:c r="C170" s="19" t="str">
        <x:v>Apollo</x:v>
      </x:c>
      <x:c r="D170" s="43" t="str">
        <x:v>Apollo-led $35 billion capital solution for Broadcom AI XPV platform</x:v>
      </x:c>
      <x:c r="E170" s="43" t="str">
        <x:v>counterparty_release</x:v>
      </x:c>
      <x:c r="F170" s="43" t="str">
        <x:v>https://www.apollo.com/insights-news/pressreleases/2026/06/apollo-leads-35-billion-capital-solution-for-broadcom-ai-xpv-platform-in-partnership-with-blackstone-and-leading-global-banks-3308896</x:v>
      </x:c>
      <x:c r="G170" s="43" t="str">
        <x:v>Broadcom rack-financing capital structure</x:v>
      </x:c>
      <x:c r="H170" s="43" t="str">
        <x:v>Primary read</x:v>
      </x:c>
      <x:c r="I170" s="43" t="str">
        <x:v>Opening and advisor list: multi-year draw schedule more than 1GW Anthropic compute and bank roles</x:v>
      </x:c>
    </x:row>
    <x:row r="171">
      <x:c r="A171" s="19" t="str">
        <x:v>SRC-AVGO-META-20260414</x:v>
      </x:c>
      <x:c r="B171" s="45" t="d">
        <x:v>2026-04-14T00:00:00.000Z</x:v>
      </x:c>
      <x:c r="C171" s="19" t="str">
        <x:v>Broadcom / Meta</x:v>
      </x:c>
      <x:c r="D171" s="43" t="str">
        <x:v>Extended MTIA partnership through 2029</x:v>
      </x:c>
      <x:c r="E171" s="43" t="str">
        <x:v>issuer_counterparty_release</x:v>
      </x:c>
      <x:c r="F171" s="43" t="str">
        <x:v>https://investors.broadcom.com/news-releases/news-release-details/broadcom-announces-extended-partnership-meta-deploy-technology</x:v>
      </x:c>
      <x:c r="G171" s="43" t="str">
        <x:v>Broadcom future custom accelerator and networking deployments</x:v>
      </x:c>
      <x:c r="H171" s="43" t="str">
        <x:v>Primary read</x:v>
      </x:c>
      <x:c r="I171" s="43" t="str">
        <x:v>Opening: 2nm MTIA; initial more-than-1GW commitment; XPU and Ethernet scope</x:v>
      </x:c>
    </x:row>
    <x:row r="172">
      <x:c r="A172" s="19" t="str">
        <x:v>SRC-AVGO-OPENAI-20251013</x:v>
      </x:c>
      <x:c r="B172" s="45" t="d">
        <x:v>2025-10-13T00:00:00.000Z</x:v>
      </x:c>
      <x:c r="C172" s="19" t="str">
        <x:v>Broadcom / OpenAI</x:v>
      </x:c>
      <x:c r="D172" s="43" t="str">
        <x:v>10GW OpenAI-designed accelerator collaboration</x:v>
      </x:c>
      <x:c r="E172" s="43" t="str">
        <x:v>issuer_counterparty_release</x:v>
      </x:c>
      <x:c r="F172" s="43" t="str">
        <x:v>https://investors.broadcom.com/news-releases/news-release-details/openai-and-broadcom-announce-strategic-collaboration-deploy-10</x:v>
      </x:c>
      <x:c r="G172" s="43" t="str">
        <x:v>Broadcom future custom accelerator and networking deployments</x:v>
      </x:c>
      <x:c r="H172" s="43" t="str">
        <x:v>Primary read</x:v>
      </x:c>
      <x:c r="I172" s="43" t="str">
        <x:v>Opening: accelerator and Ethernet systems; term sheet; rack delivery H2 2026 through end-2029</x:v>
      </x:c>
    </x:row>
    <x:row r="173">
      <x:c r="A173" s="19" t="str">
        <x:v>SRC-BE-10K-FY25</x:v>
      </x:c>
      <x:c r="B173" s="45" t="d">
        <x:v>2026-02-09T00:00:00.000Z</x:v>
      </x:c>
      <x:c r="C173" s="19" t="str">
        <x:v>Bloom Energy / SEC</x:v>
      </x:c>
      <x:c r="D173" s="43" t="str">
        <x:v>Bloom Energy fiscal 2025 Form 10-K</x:v>
      </x:c>
      <x:c r="E173" s="43" t="str">
        <x:v>10-K</x:v>
      </x:c>
      <x:c r="F173" s="43" t="str">
        <x:v>https://www.sec.gov/Archives/edgar/data/1664703/000162828026006516/be-20251231.htm</x:v>
      </x:c>
      <x:c r="G173" s="43" t="str">
        <x:v>Bloom supplier economics revenue concentration financing and commitments</x:v>
      </x:c>
      <x:c r="H173" s="43" t="str">
        <x:v>Primary read</x:v>
      </x:c>
      <x:c r="I173" s="43" t="str">
        <x:v>Statements of Operations; Note 3 revenue concentration and RPO; Note 11 Fund JVs and Brookfield framework; debt and commitments</x:v>
      </x:c>
    </x:row>
    <x:row r="174">
      <x:c r="A174" s="19" t="str">
        <x:v>SRC-BE-10QA-Q2FY26</x:v>
      </x:c>
      <x:c r="B174" s="45" t="d">
        <x:v>2026-07-29T00:00:00.000Z</x:v>
      </x:c>
      <x:c r="C174" s="19" t="str">
        <x:v>Bloom Energy / SEC</x:v>
      </x:c>
      <x:c r="D174" s="43" t="str">
        <x:v>Bloom Energy Q2 2026 Form 10-Q/A</x:v>
      </x:c>
      <x:c r="E174" s="43" t="str">
        <x:v>10-Q/A</x:v>
      </x:c>
      <x:c r="F174" s="43" t="str">
        <x:v>https://www.sec.gov/Archives/edgar/data/1664703/000162828026050325/be-20260630.htm</x:v>
      </x:c>
      <x:c r="G174" s="43" t="str">
        <x:v>Bloom quarterly revenue concentration cash debt RPO JVs and Oracle warrant</x:v>
      </x:c>
      <x:c r="H174" s="43" t="str">
        <x:v>Primary read</x:v>
      </x:c>
      <x:c r="I174" s="43" t="str">
        <x:v>Statements of Operations; Notes 3 11 12 and 13; liquidity and debt tables</x:v>
      </x:c>
    </x:row>
    <x:row r="175">
      <x:c r="A175" s="19" t="str">
        <x:v>SRC-BE-EARNINGS-Q2FY26</x:v>
      </x:c>
      <x:c r="B175" s="45" t="d">
        <x:v>2026-07-28T00:00:00.000Z</x:v>
      </x:c>
      <x:c r="C175" s="19" t="str">
        <x:v>Bloom Energy / SEC</x:v>
      </x:c>
      <x:c r="D175" s="43" t="str">
        <x:v>Bloom Energy Q2 2026 financial results</x:v>
      </x:c>
      <x:c r="E175" s="43" t="str">
        <x:v>8-K exhibit 99.1</x:v>
      </x:c>
      <x:c r="F175" s="43" t="str">
        <x:v>https://www.sec.gov/Archives/edgar/data/1664703/000162828026050150/ex991_q226financialresults.htm</x:v>
      </x:c>
      <x:c r="G175" s="43" t="str">
        <x:v>Bloom quarterly results cash flow and guidance</x:v>
      </x:c>
      <x:c r="H175" s="43" t="str">
        <x:v>Primary read</x:v>
      </x:c>
      <x:c r="I175" s="43" t="str">
        <x:v>Financial highlights revenue table cash-flow summary and fiscal 2026 outlook</x:v>
      </x:c>
    </x:row>
    <x:row r="176">
      <x:c r="A176" s="19" t="str">
        <x:v>SRC-NBIS-BE-CAPACITY-20260520</x:v>
      </x:c>
      <x:c r="B176" s="45" t="d">
        <x:v>2026-05-20T00:00:00.000Z</x:v>
      </x:c>
      <x:c r="C176" s="19" t="str">
        <x:v>Nebius / SEC</x:v>
      </x:c>
      <x:c r="D176" s="43" t="str">
        <x:v>Nebius Capacity Agreement with Bloom Energy</x:v>
      </x:c>
      <x:c r="E176" s="43" t="str">
        <x:v>6-K</x:v>
      </x:c>
      <x:c r="F176" s="43" t="str">
        <x:v>https://www.sec.gov/Archives/edgar/data/0001965040/000121390026052737/ea0243376-6k_nebius.htm</x:v>
      </x:c>
      <x:c r="G176" s="43" t="str">
        <x:v>Bloom contracted generation and capacity-service economics</x:v>
      </x:c>
      <x:c r="H176" s="43" t="str">
        <x:v>Primary read</x:v>
      </x:c>
      <x:c r="I176" s="43" t="str">
        <x:v>Agreement entered May 14; three 10-year phases; about250MW guaranteed and328MW installed generation; up to2.6B aggregate service fees</x:v>
      </x:c>
    </x:row>
    <x:row r="177">
      <x:c r="A177" s="19" t="str">
        <x:v>SRC-NBIS-BE-RELEASE-20260520</x:v>
      </x:c>
      <x:c r="B177" s="45" t="d">
        <x:v>2026-05-20T00:00:00.000Z</x:v>
      </x:c>
      <x:c r="C177" s="19" t="str">
        <x:v>Nebius</x:v>
      </x:c>
      <x:c r="D177" s="43" t="str">
        <x:v>Nebius and Bloom Energy partner for AI infrastructure power</x:v>
      </x:c>
      <x:c r="E177" s="43" t="str">
        <x:v>counterparty_release</x:v>
      </x:c>
      <x:c r="F177" s="43" t="str">
        <x:v>https://nebius.com/newsroom/nebius-and-bloom-energy-partner-to-power-ai-infrastructure-build-out</x:v>
      </x:c>
      <x:c r="G177" s="43" t="str">
        <x:v>Bloom deployment timing and behind-the-meter boundary</x:v>
      </x:c>
      <x:c r="H177" s="43" t="str">
        <x:v>Primary read</x:v>
      </x:c>
      <x:c r="I177" s="43" t="str">
        <x:v>Opening:328MW installed behind-the-meter generation expected operational in 2026</x:v>
      </x:c>
    </x:row>
    <x:row r="178">
      <x:c r="A178" s="19" t="str">
        <x:v>SRC-IDF-OAKTREE-BE-20260716</x:v>
      </x:c>
      <x:c r="B178" s="45" t="d">
        <x:v>2026-07-16T00:00:00.000Z</x:v>
      </x:c>
      <x:c r="C178" s="19" t="str">
        <x:v>IDF / Oaktree</x:v>
      </x:c>
      <x:c r="D178" s="43" t="str">
        <x:v>$1.7 billion project investment for Bloom fuel cells serving Nebius</x:v>
      </x:c>
      <x:c r="E178" s="43" t="str">
        <x:v>project_finance_release</x:v>
      </x:c>
      <x:c r="F178" s="43" t="str">
        <x:v>https://www.prnewswire.com/news-releases/industrial-development-funding-and-oaktree-announce-1-7-billion-project-investment-in-bloom-energy-fuel-cells-for-nebius-ai-infrastructure-build-out-302827566.html</x:v>
      </x:c>
      <x:c r="G178" s="43" t="str">
        <x:v>Bloom Nebius project-finance capital stack</x:v>
      </x:c>
      <x:c r="H178" s="43" t="str">
        <x:v>Primary read</x:v>
      </x:c>
      <x:c r="I178" s="43" t="str">
        <x:v>IDF developer; Oaktree minority equity; Morgan Stanley tax equity and placement agent; MUFG senior debt</x:v>
      </x:c>
    </x:row>
    <x:row r="179">
      <x:c r="A179" s="19" t="str">
        <x:v>SRC-BE-BROOKFIELD-20260630</x:v>
      </x:c>
      <x:c r="B179" s="45" t="d">
        <x:v>2026-06-30T00:00:00.000Z</x:v>
      </x:c>
      <x:c r="C179" s="19" t="str">
        <x:v>Bloom Energy / Brookfield</x:v>
      </x:c>
      <x:c r="D179" s="43" t="str">
        <x:v>Brookfield and Bloom expand AI infrastructure financing framework to $25 billion</x:v>
      </x:c>
      <x:c r="E179" s="43" t="str">
        <x:v>issuer_release</x:v>
      </x:c>
      <x:c r="F179" s="43" t="str">
        <x:v>https://investor.bloomenergy.com/press-releases/press-release-details/2026/Brookfield-and-Bloom-Energy-Expand-AI-Infrastructure-Partnership-to-25-Billion-Fivefold-Increase-to-Build-and-Finance-Rapid-Power-for-AI-Infrastructure/default.aspx</x:v>
      </x:c>
      <x:c r="G179" s="43" t="str">
        <x:v>Bloom financing framework</x:v>
      </x:c>
      <x:c r="H179" s="43" t="str">
        <x:v>Primary read</x:v>
      </x:c>
      <x:c r="I179" s="43" t="str">
        <x:v>Framework expanded from5B to25B over five years; not recognized revenue or RPO</x:v>
      </x:c>
    </x:row>
    <x:row r="180">
      <x:c r="A180" s="19" t="str">
        <x:v>SRC-BE-ORCL-20260413</x:v>
      </x:c>
      <x:c r="B180" s="45" t="d">
        <x:v>2026-04-13T00:00:00.000Z</x:v>
      </x:c>
      <x:c r="C180" s="19" t="str">
        <x:v>Bloom Energy / Oracle</x:v>
      </x:c>
      <x:c r="D180" s="43" t="str">
        <x:v>Bloom and Oracle expand strategic partnership to up to 2.8 GW</x:v>
      </x:c>
      <x:c r="E180" s="43" t="str">
        <x:v>issuer_release</x:v>
      </x:c>
      <x:c r="F180" s="43" t="str">
        <x:v>https://investor.bloomenergy.com/press-releases/press-release-details/2026/Bloom-Energy-and-Oracle-Expand-Strategic-Partnership-to-Deploy-up-to-2-8-GW-to-Accelerate-AI-Infrastructure-Build-Out/default.aspx</x:v>
      </x:c>
      <x:c r="G180" s="43" t="str">
        <x:v>Bloom future Oracle generation deployment</x:v>
      </x:c>
      <x:c r="H180" s="43" t="str">
        <x:v>Primary read</x:v>
      </x:c>
      <x:c r="I180" s="43" t="str">
        <x:v>Up to2.8GW;1.2GW contracted and deploying into next year; first system delivered in55 days</x:v>
      </x:c>
    </x:row>
    <x:row r="181">
      <x:c r="A181" s="19" t="str">
        <x:v>SRC-ORCL-JUPITER-BE-20260427</x:v>
      </x:c>
      <x:c r="B181" s="45" t="d">
        <x:v>2026-04-27T00:00:00.000Z</x:v>
      </x:c>
      <x:c r="C181" s="19" t="str">
        <x:v>Oracle / BorderPlex</x:v>
      </x:c>
      <x:c r="D181" s="43" t="str">
        <x:v>Oracle BorderPlex and Bloom to power Project Jupiter</x:v>
      </x:c>
      <x:c r="E181" s="43" t="str">
        <x:v>counterparty_release</x:v>
      </x:c>
      <x:c r="F181" s="43" t="str">
        <x:v>https://www.oracle.com/news/announcement/oracle-borderplex-and-bloom-energy-to-power-project-jupiter-with-fuel-cell-technology-2026-04-27/</x:v>
      </x:c>
      <x:c r="G181" s="43" t="str">
        <x:v>Bloom Project Jupiter generation perimeter</x:v>
      </x:c>
      <x:c r="H181" s="43" t="str">
        <x:v>Primary read</x:v>
      </x:c>
      <x:c r="I181" s="43" t="str">
        <x:v>Up to2.45GW installed fuel-cell generation; Oracle bears energy costs; no IT-load or PUE disclosure</x:v>
      </x:c>
    </x:row>
    <x:row r="182">
      <x:c r="A182" s="19" t="str">
        <x:v>SRC-BE-800V-20260916</x:v>
      </x:c>
      <x:c r="B182" s="45" t="d">
        <x:v>2026-09-16T00:00:00.000Z</x:v>
      </x:c>
      <x:c r="C182" s="19" t="str">
        <x:v>Bloom Energy</x:v>
      </x:c>
      <x:c r="D182" s="43" t="str">
        <x:v>Bloom 800V DC-native power cost model</x:v>
      </x:c>
      <x:c r="E182" s="43" t="str">
        <x:v>issuer_modeled_claim</x:v>
      </x:c>
      <x:c r="F182" s="43" t="str">
        <x:v>https://investor.bloomenergy.com/press-releases/press-release-details/2026/Bloom-Energys-800V-DC-Native-Power-Can-Cut-Billions-from-AI-Data-Center-Costs-Reduce-Power-Use-and-Eliminate-Need-for-Transformers/default.aspx</x:v>
      </x:c>
      <x:c r="G182" s="43" t="str">
        <x:v>Bloom company modeled DC power economics</x:v>
      </x:c>
      <x:c r="H182" s="43" t="str">
        <x:v>Primary read</x:v>
      </x:c>
      <x:c r="I182" s="43" t="str">
        <x:v>Illustrative1GW site claims3.6B non-compute capex and5.5B five-year TCO savings; not audited realized economics or PUE</x:v>
      </x:c>
    </x:row>
    <x:row r="183">
      <x:c r="A183" s="19" t="str">
        <x:v>SRC-PLTR-10K-FY25</x:v>
      </x:c>
      <x:c r="B183" s="45" t="d">
        <x:v>2026-02-17T00:00:00.000Z</x:v>
      </x:c>
      <x:c r="C183" s="19" t="str">
        <x:v>Palantir Technologies Inc.</x:v>
      </x:c>
      <x:c r="D183" s="43" t="str">
        <x:v>Palantir FY2025 Form 10-K</x:v>
      </x:c>
      <x:c r="E183" s="43" t="str">
        <x:v>10-K</x:v>
      </x:c>
      <x:c r="F183" s="43" t="str">
        <x:v>https://www.sec.gov/Archives/edgar/data/1321655/000132165526000011/pltr-20251231.htm</x:v>
      </x:c>
      <x:c r="G183" s="43" t="str">
        <x:v>Palantir company review</x:v>
      </x:c>
      <x:c r="H183" s="43" t="str">
        <x:v>Primary read</x:v>
      </x:c>
      <x:c r="I183" s="43" t="str">
        <x:v>Statements of Operations p86; Material Cash Requirements p78; Note 2 pp93-95; Notes 6-8 pp100-103; Item 15 exhibit index; </x:v>
      </x:c>
    </x:row>
    <x:row r="184">
      <x:c r="A184" s="19" t="str">
        <x:v>SRC-PLTR-10Q-Q2FY26</x:v>
      </x:c>
      <x:c r="B184" s="45" t="d">
        <x:v>2026-08-04T00:00:00.000Z</x:v>
      </x:c>
      <x:c r="C184" s="19" t="str">
        <x:v>Palantir Technologies Inc.</x:v>
      </x:c>
      <x:c r="D184" s="43" t="str">
        <x:v>Palantir Q2 2026 Form 10-Q</x:v>
      </x:c>
      <x:c r="E184" s="43" t="str">
        <x:v>10-Q</x:v>
      </x:c>
      <x:c r="F184" s="43" t="str">
        <x:v>https://www.sec.gov/Archives/edgar/data/1321655/000132165526000041/pltr-20260630.htm</x:v>
      </x:c>
      <x:c r="G184" s="43" t="str">
        <x:v>Palantir company review</x:v>
      </x:c>
      <x:c r="H184" s="43" t="str">
        <x:v>Primary read</x:v>
      </x:c>
      <x:c r="I184" s="43" t="str">
        <x:v>Balance Sheet p3; Operations p4; Note 3 p11; Notes 6-7 pp13-14; MD&amp;A pp29-33; investment risk p55; cloud-provider risk pp58-59; Item 6 p88; SEC filing date is August 4; document signatures and issuer PDF are dated August 3. Both HTML and issuer PDF read.</x:v>
      </x:c>
    </x:row>
    <x:row r="185">
      <x:c r="A185" s="19" t="str">
        <x:v>SRC-PLTR-10Q-Q1FY26</x:v>
      </x:c>
      <x:c r="B185" s="45" t="d">
        <x:v>2026-05-05T00:00:00.000Z</x:v>
      </x:c>
      <x:c r="C185" s="19" t="str">
        <x:v>Palantir Technologies Inc.</x:v>
      </x:c>
      <x:c r="D185" s="43" t="str">
        <x:v>Palantir Q1 2026 Form 10-Q</x:v>
      </x:c>
      <x:c r="E185" s="43" t="str">
        <x:v>10-Q</x:v>
      </x:c>
      <x:c r="F185" s="43" t="str">
        <x:v>https://www.sec.gov/Archives/edgar/data/1321655/000132165526000028/pltr-20260331.htm</x:v>
      </x:c>
      <x:c r="G185" s="43" t="str">
        <x:v>Palantir company review</x:v>
      </x:c>
      <x:c r="H185" s="43" t="str">
        <x:v>Primary read</x:v>
      </x:c>
      <x:c r="I185" s="43" t="str">
        <x:v>Note 7 Purchase Commitments; Item 6 exhibit index p86; Read to establish first disclosure of March amendment; not an additional commitment on top of Q2.</x:v>
      </x:c>
    </x:row>
    <x:row r="186">
      <x:c r="A186" s="19" t="str">
        <x:v>SRC-PLTR-Q2FY26-ER</x:v>
      </x:c>
      <x:c r="B186" s="45" t="d">
        <x:v>2026-08-03T00:00:00.000Z</x:v>
      </x:c>
      <x:c r="C186" s="19" t="str">
        <x:v>Palantir Technologies Inc.</x:v>
      </x:c>
      <x:c r="D186" s="43" t="str">
        <x:v>Palantir Q2 2026 earnings release furnished as Exhibit 99.1</x:v>
      </x:c>
      <x:c r="E186" s="43" t="str">
        <x:v>8-K_exhibit</x:v>
      </x:c>
      <x:c r="F186" s="43" t="str">
        <x:v>https://www.sec.gov/Archives/edgar/data/1321655/000132165526000039/a2026q2ex991pressrelease.htm</x:v>
      </x:c>
      <x:c r="G186" s="43" t="str">
        <x:v>Palantir company review</x:v>
      </x:c>
      <x:c r="H186" s="43" t="str">
        <x:v>Primary read</x:v>
      </x:c>
      <x:c r="I186" s="43" t="str">
        <x:v>Q2 Highlights; Financial Summary; Statements of Operations; Reconciliation of Adjusted Free Cash Flow; </x:v>
      </x:c>
    </x:row>
    <x:row r="187">
      <x:c r="A187" s="19" t="str">
        <x:v>SRC-PLTR-Q2FY26-DECK</x:v>
      </x:c>
      <x:c r="B187" s="45" t="d">
        <x:v>2026-08-03T00:00:00.000Z</x:v>
      </x:c>
      <x:c r="C187" s="19" t="str">
        <x:v>Palantir Technologies Inc.</x:v>
      </x:c>
      <x:c r="D187" s="43" t="str">
        <x:v>Palantir Q2 2026 Business Update</x:v>
      </x:c>
      <x:c r="E187" s="43" t="str">
        <x:v>issuer_presentation</x:v>
      </x:c>
      <x:c r="F187" s="43" t="str">
        <x:v>https://investors.palantir.com/files/Palantir%20-%20Q2%202026%20Business%20Update.pdf</x:v>
      </x:c>
      <x:c r="G187" s="43" t="str">
        <x:v>Palantir company review</x:v>
      </x:c>
      <x:c r="H187" s="43" t="str">
        <x:v>Primary read</x:v>
      </x:c>
      <x:c r="I187" s="43" t="str">
        <x:v>Slides 4-5, 11, 14, 19-20, 23-24, 27, 29; Full PDF retrieved directly and text extracted; web renderer rejected 16.3MB size. Company strategy statements are claims, not measured token economics.</x:v>
      </x:c>
    </x:row>
    <x:row r="188">
      <x:c r="A188" s="19" t="str">
        <x:v>SRC-PLTR-FILING-INDEX-20261011</x:v>
      </x:c>
      <x:c r="B188" s="45" t="d">
        <x:v>2026-10-11T00:00:00.000Z</x:v>
      </x:c>
      <x:c r="C188" s="19" t="str">
        <x:v>Palantir Technologies Inc.</x:v>
      </x:c>
      <x:c r="D188" s="43" t="str">
        <x:v>Palantir SEC submissions index checked October 11 2026</x:v>
      </x:c>
      <x:c r="E188" s="43" t="str">
        <x:v>regulator_index</x:v>
      </x:c>
      <x:c r="F188" s="43" t="str">
        <x:v>https://data.sec.gov/submissions/CIK0001321655.json</x:v>
      </x:c>
      <x:c r="G188" s="43" t="str">
        <x:v>Palantir company review</x:v>
      </x:c>
      <x:c r="H188" s="43" t="str">
        <x:v>Primary read</x:v>
      </x:c>
      <x:c r="I188" s="43" t="str">
        <x:v>filings.recent form, filingDate, accessionNumber and primaryDocument; Latest 10-K FY2025 and 10-Q June 30 2026. Latest indexed 8-K August 3 earnings; Q1/Q2 exhibit lists contain no full cloud-hosting amendment.</x:v>
      </x:c>
    </x:row>
    <x:row r="189">
      <x:c r="A189" s="19" t="str">
        <x:v>SRC-PLTR-NVDA-SOVEREIGN-20260910</x:v>
      </x:c>
      <x:c r="B189" s="45" t="d">
        <x:v>2026-09-10T00:00:00.000Z</x:v>
      </x:c>
      <x:c r="C189" s="19" t="str">
        <x:v>NVIDIA</x:v>
      </x:c>
      <x:c r="D189" s="43" t="str">
        <x:v>NVIDIA and Palantir Bring Sovereign Intelligence to Critical Supply Chains</x:v>
      </x:c>
      <x:c r="E189" s="43" t="str">
        <x:v>counterparty_release</x:v>
      </x:c>
      <x:c r="F189" s="43" t="str">
        <x:v>https://nvidianews.nvidia.com/news/nvidia-and-palantir-bring-sovereign-intelligence-to-critical-supply-chains</x:v>
      </x:c>
      <x:c r="G189" s="43" t="str">
        <x:v>Palantir company review</x:v>
      </x:c>
      <x:c r="H189" s="43" t="str">
        <x:v>Primary read</x:v>
      </x:c>
      <x:c r="I189" s="43" t="str">
        <x:v>News Summary; Open Models; Built for Sovereign Enterprise-Scale Deployment; Deployment begins inside NVIDIA operations. No contract value, GPU count, IT MW, PUE, deployment revenue or measured savings disclosed.</x:v>
      </x:c>
    </x:row>
    <x:row r="190">
      <x:c r="A190" s="19" t="str">
        <x:v>SRC-ORCL-Q1FY27-DECK</x:v>
      </x:c>
      <x:c r="B190" s="45" t="d">
        <x:v>2026-09-10T00:00:00.000Z</x:v>
      </x:c>
      <x:c r="C190" s="19" t="str">
        <x:v>Oracle (issuer presentation on third-party mirror)</x:v>
      </x:c>
      <x:c r="D190" s="43" t="str">
        <x:v>Q1 FY2027 earnings presentation</x:v>
      </x:c>
      <x:c r="E190" s="43" t="str">
        <x:v>issuer_presentation</x:v>
      </x:c>
      <x:c r="F190" s="43" t="str">
        <x:v>https://csv-storage.forexpros.com/slides/597927154e234fcd26fe6003bd5d184554884a6499af9b3bf8ed3ef5bf2d8d24.pdf</x:v>
      </x:c>
      <x:c r="G190" s="43" t="str">
        <x:v>Oracle OCI review</x:v>
      </x:c>
      <x:c r="H190" s="43" t="str">
        <x:v>Read 2026-10-12</x:v>
      </x:c>
      <x:c r="I190" s="43" t="str">
        <x:v>Full 15-slide issuer-authored document read. Oracle IR endpoint unavailable; mirror provenance explicit. Rounded financial totals reconcile to SEC filing; utilization and renewal premium are management claims.</x:v>
      </x:c>
    </x:row>
    <x:row r="191">
      <x:c r="A191" s="19" t="str">
        <x:v>SRC-ORCL-CDP-2025-READ20261012</x:v>
      </x:c>
      <x:c r="B191" s="45"/>
      <x:c r="C191" s="19" t="str">
        <x:v>Oracle</x:v>
      </x:c>
      <x:c r="D191" s="43" t="str">
        <x:v>CDP climate questionnaire 2025</x:v>
      </x:c>
      <x:c r="E191" s="43" t="str">
        <x:v>issuer_sustainability_questionnaire</x:v>
      </x:c>
      <x:c r="F191" s="43" t="str">
        <x:v>https://www.oracle.com/a/ocom/docs/cdp-climate-change-questionnaire.pdf</x:v>
      </x:c>
      <x:c r="G191" s="43" t="str">
        <x:v>Oracle OCI review</x:v>
      </x:c>
      <x:c r="H191" s="43" t="str">
        <x:v>Read 2026-10-12</x:v>
      </x:c>
      <x:c r="I191" s="43" t="str">
        <x:v>Copyright 2026 does not establish publication date. Oracle describes invoice-based IT power and site-average PUE inputs for leased-site non-IT emissions estimation, but does not publish usable matched site PUE inputs.</x:v>
      </x:c>
    </x:row>
    <x:row r="192">
      <x:c r="A192" s="19" t="str">
        <x:v>SRC-ORCL-PUE-BLOG-20201204</x:v>
      </x:c>
      <x:c r="B192" s="45" t="d">
        <x:v>2020-12-04T00:00:00.000Z</x:v>
      </x:c>
      <x:c r="C192" s="19" t="str">
        <x:v>Oracle</x:v>
      </x:c>
      <x:c r="D192" s="43" t="str">
        <x:v>Sustainability 2025: Oracle renews commitment to environmental goals</x:v>
      </x:c>
      <x:c r="E192" s="43" t="str">
        <x:v>issuer_blog</x:v>
      </x:c>
      <x:c r="F192" s="43" t="str">
        <x:v>https://blogs.oracle.com/sustainability/sustainability-2025-oracle-renews-commitment-to-environmental-goals</x:v>
      </x:c>
      <x:c r="G192" s="43" t="str">
        <x:v>Oracle OCI review</x:v>
      </x:c>
      <x:c r="H192" s="43" t="str">
        <x:v>Read 2026-10-12</x:v>
      </x:c>
      <x:c r="I192" s="43" t="str">
        <x:v>2025 in title is target year, not publication year. Best-case historical site claim only; not a current fleet average.</x:v>
      </x:c>
    </x:row>
    <x:row r="193">
      <x:c r="A193" s="19" t="str">
        <x:v>SRC-ORCL-PLANET-READ20261012</x:v>
      </x:c>
      <x:c r="B193" s="45"/>
      <x:c r="C193" s="19" t="str">
        <x:v>Oracle</x:v>
      </x:c>
      <x:c r="D193" s="43" t="str">
        <x:v>Planet sustainability goals</x:v>
      </x:c>
      <x:c r="E193" s="43" t="str">
        <x:v>issuer_webpage</x:v>
      </x:c>
      <x:c r="F193" s="43" t="str">
        <x:v>https://www.oracle.com/social-impact/planet/</x:v>
      </x:c>
      <x:c r="G193" s="43" t="str">
        <x:v>Oracle OCI review</x:v>
      </x:c>
      <x:c r="H193" s="43" t="str">
        <x:v>Read 2026-10-12</x:v>
      </x:c>
      <x:c r="I193" s="43" t="str">
        <x:v>Current webpage read; does not give numeric matched PUE. Separate 2035 custom-cluster goal must not be collapsed into public-cloud goal.</x:v>
      </x:c>
    </x:row>
    <x:row r="194">
      <x:c r="A194" s="19" t="str">
        <x:v>SRC-ORCL-SEC-INDEX-20261012</x:v>
      </x:c>
      <x:c r="B194" s="45" t="d">
        <x:v>2026-10-12T00:00:00.000Z</x:v>
      </x:c>
      <x:c r="C194" s="19" t="str">
        <x:v>SEC</x:v>
      </x:c>
      <x:c r="D194" s="43" t="str">
        <x:v>Oracle submissions index through October 12</x:v>
      </x:c>
      <x:c r="E194" s="43" t="str">
        <x:v>regulatory_index</x:v>
      </x:c>
      <x:c r="F194" s="43" t="str">
        <x:v>https://data.sec.gov/submissions/CIK0001341439.json</x:v>
      </x:c>
      <x:c r="G194" s="43" t="str">
        <x:v>Oracle OCI review</x:v>
      </x:c>
      <x:c r="H194" s="43" t="str">
        <x:v>Read 2026-10-12</x:v>
      </x:c>
      <x:c r="I194" s="43" t="str">
        <x:v>Latest 10-K June22, 10-Q September11 and 8-K September14. Retrieval date is snapshot date, not filing publication date.</x:v>
      </x:c>
    </x:row>
    <x:row r="195">
      <x:c r="A195" s="19" t="str">
        <x:v>SRC-ORCL-8K-20260914</x:v>
      </x:c>
      <x:c r="B195" s="45" t="d">
        <x:v>2026-09-14T00:00:00.000Z</x:v>
      </x:c>
      <x:c r="C195" s="19" t="str">
        <x:v>Oracle / SEC</x:v>
      </x:c>
      <x:c r="D195" s="43" t="str">
        <x:v>September 14 Form 8-K</x:v>
      </x:c>
      <x:c r="E195" s="43" t="str">
        <x:v>8-K</x:v>
      </x:c>
      <x:c r="F195" s="43" t="str">
        <x:v>https://www.sec.gov/Archives/edgar/data/1341439/000119312526389753/d20034d8k.htm</x:v>
      </x:c>
      <x:c r="G195" s="43" t="str">
        <x:v>Oracle OCI review</x:v>
      </x:c>
      <x:c r="H195" s="43" t="str">
        <x:v>Read 2026-10-12</x:v>
      </x:c>
      <x:c r="I195" s="43" t="str">
        <x:v>Entire short filing read. Larry Ellison canceled trading plan; no sales. Does not disclose disposition of September lessor guarantee.</x:v>
      </x:c>
    </x:row>
    <x:row r="196">
      <x:c r="A196" s="19" t="str">
        <x:v>SRC-ORCL-424B5-20260623</x:v>
      </x:c>
      <x:c r="B196" s="45" t="d">
        <x:v>2026-06-23T00:00:00.000Z</x:v>
      </x:c>
      <x:c r="C196" s="19" t="str">
        <x:v>Oracle / SEC</x:v>
      </x:c>
      <x:c r="D196" s="43" t="str">
        <x:v>ATM prospectus supplement adding sales agents</x:v>
      </x:c>
      <x:c r="E196" s="43" t="str">
        <x:v>424B5</x:v>
      </x:c>
      <x:c r="F196" s="43" t="str">
        <x:v>https://www.sec.gov/Archives/edgar/data/1341439/000119312526278585/d120346d424b5.htm</x:v>
      </x:c>
      <x:c r="G196" s="43" t="str">
        <x:v>Oracle OCI review</x:v>
      </x:c>
      <x:c r="H196" s="43" t="str">
        <x:v>Read 2026-10-12</x:v>
      </x:c>
      <x:c r="I196" s="43" t="str">
        <x:v>Adds agents, not another $20B authorization; Q1 10-Q subsequently reports full utilization.</x:v>
      </x:c>
    </x:row>
    <x:row r="197">
      <x:c r="A197" s="19" t="str">
        <x:v>SRC-ORCL-Q1FY27-TRANSCRIPT</x:v>
      </x:c>
      <x:c r="B197" s="45" t="d">
        <x:v>2026-09-11T00:00:00.000Z</x:v>
      </x:c>
      <x:c r="C197" s="19" t="str">
        <x:v>The Motley Fool (transcript of Oracle management)</x:v>
      </x:c>
      <x:c r="D197" s="43" t="str">
        <x:v>Oracle Q1 FY2027 earnings-call transcript</x:v>
      </x:c>
      <x:c r="E197" s="43" t="str">
        <x:v>secondary_transcript</x:v>
      </x:c>
      <x:c r="F197" s="43" t="str">
        <x:v>https://www.fool.com/earnings/call-transcripts/2026/09/11/oracle-orcl-q1-2027-earnings-call-transcript/</x:v>
      </x:c>
      <x:c r="G197" s="43" t="str">
        <x:v>Oracle OCI review</x:v>
      </x:c>
      <x:c r="H197" s="43" t="str">
        <x:v>Read 2026-10-12</x:v>
      </x:c>
      <x:c r="I197" s="43" t="str">
        <x:v>Prepared remarks and Q&amp;A read; not checked against audio. Obvious 3 thousand GPUs transcription discrepancy is overridden by primary earnings release &gt;300,000. Management delivery claims are not independently verified energized capacity.</x:v>
      </x:c>
    </x:row>
    <x:row r="198">
      <x:c r="A198" s="19" t="str">
        <x:v>SRC-NMED-JUPITER-20261012</x:v>
      </x:c>
      <x:c r="B198" s="45" t="d">
        <x:v>2026-10-12T00:00:00.000Z</x:v>
      </x:c>
      <x:c r="C198" s="19" t="str">
        <x:v>New Mexico Environment Department</x:v>
      </x:c>
      <x:c r="D198" s="43" t="str">
        <x:v>Project Jupiter microgrid permit stay: October12 snapshot</x:v>
      </x:c>
      <x:c r="E198" s="43" t="str">
        <x:v>regulatory_status_snapshot</x:v>
      </x:c>
      <x:c r="F198" s="43" t="str">
        <x:v>https://www.env.nm.gov/</x:v>
      </x:c>
      <x:c r="G198" s="43" t="str">
        <x:v>Oracle OCI review</x:v>
      </x:c>
      <x:c r="H198" s="43" t="str">
        <x:v>Read 2026-10-12</x:v>
      </x:c>
      <x:c r="I198" s="43" t="str">
        <x:v>Date is observation date; page says Supreme Court has stayed process. No signed judicial order or final permit independently obtained; does not prove cancellation.</x:v>
      </x:c>
    </x:row>
    <x:row r="199">
      <x:c r="A199" s="19" t="str">
        <x:v>SRC-NMED-JUPITER-DOCKET-20261012</x:v>
      </x:c>
      <x:c r="B199" s="45" t="d">
        <x:v>2026-10-12T00:00:00.000Z</x:v>
      </x:c>
      <x:c r="C199" s="19" t="str">
        <x:v>New Mexico Environment Department</x:v>
      </x:c>
      <x:c r="D199" s="43" t="str">
        <x:v>Yucca Growth Infrastructure microgrid permit docket snapshot</x:v>
      </x:c>
      <x:c r="E199" s="43" t="str">
        <x:v>regulatory_docket_snapshot</x:v>
      </x:c>
      <x:c r="F199" s="43" t="str">
        <x:v>https://www.env.nm.gov/public-notices/yucca-growth-infrastructure-llc-ygi-microgrid/</x:v>
      </x:c>
      <x:c r="G199" s="43" t="str">
        <x:v>Oracle OCI review</x:v>
      </x:c>
      <x:c r="H199" s="43" t="str">
        <x:v>Read 2026-10-12</x:v>
      </x:c>
      <x:c r="I199" s="43" t="str">
        <x:v>Docket read; no final permit seen in displayed documents. Dynamic hearing-calendar link did not expose order text.</x:v>
      </x:c>
    </x:row>
    <x:row r="200">
      <x:c r="A200" s="19" t="str">
        <x:v>SRC-CRWV-SEC-INDEX-20261013</x:v>
      </x:c>
      <x:c r="B200" s="45" t="d">
        <x:v>2026-10-13T00:00:00.000Z</x:v>
      </x:c>
      <x:c r="C200" s="19" t="str">
        <x:v>SEC</x:v>
      </x:c>
      <x:c r="D200" s="43" t="str">
        <x:v>CoreWeave submissions index checked October 13 2026</x:v>
      </x:c>
      <x:c r="E200" s="43" t="str">
        <x:v>regulator_index</x:v>
      </x:c>
      <x:c r="F200" s="43" t="str">
        <x:v>https://data.sec.gov/submissions/CIK0001769628.json</x:v>
      </x:c>
      <x:c r="G200" s="43" t="str">
        <x:v>CoreWeave review</x:v>
      </x:c>
      <x:c r="H200" s="43" t="str">
        <x:v>Read 2026-10-13</x:v>
      </x:c>
      <x:c r="I200" s="43" t="str">
        <x:v>Latest material financial filing is September 22 convertible close; October 13 entries are Forms 144.</x:v>
      </x:c>
    </x:row>
    <x:row r="201">
      <x:c r="A201" s="19" t="str">
        <x:v>SRC-CRWV-Q2FY26-DECK</x:v>
      </x:c>
      <x:c r="B201" s="45" t="d">
        <x:v>2026-08-11T00:00:00.000Z</x:v>
      </x:c>
      <x:c r="C201" s="19" t="str">
        <x:v>CoreWeave</x:v>
      </x:c>
      <x:c r="D201" s="43" t="str">
        <x:v>Q2 2026 Earnings Presentation</x:v>
      </x:c>
      <x:c r="E201" s="43" t="str">
        <x:v>issuer_presentation</x:v>
      </x:c>
      <x:c r="F201" s="43" t="str">
        <x:v>https://s205.q4cdn.com/133937190/files/doc_financials/2026/q2/CoreWeave-Q2-26-Earnings-Presentation.pdf</x:v>
      </x:c>
      <x:c r="G201" s="43" t="str">
        <x:v>CoreWeave review</x:v>
      </x:c>
      <x:c r="H201" s="43" t="str">
        <x:v>Read 2026-10-13</x:v>
      </x:c>
      <x:c r="I201" s="43" t="str">
        <x:v>Full 23-page presentation; active power boundary remains undefined.</x:v>
      </x:c>
    </x:row>
    <x:row r="202">
      <x:c r="A202" s="19" t="str">
        <x:v>SRC-CRWV-Q2FY26-OUTLOOK</x:v>
      </x:c>
      <x:c r="B202" s="45" t="d">
        <x:v>2026-08-11T00:00:00.000Z</x:v>
      </x:c>
      <x:c r="C202" s="19" t="str">
        <x:v>CoreWeave</x:v>
      </x:c>
      <x:c r="D202" s="43" t="str">
        <x:v>Q2 2026 Earnings Outlook Presentation</x:v>
      </x:c>
      <x:c r="E202" s="43" t="str">
        <x:v>issuer_presentation</x:v>
      </x:c>
      <x:c r="F202" s="43" t="str">
        <x:v>https://s205.q4cdn.com/133937190/files/doc_financials/2026/q2/CoreWeave-Q2-26-Earnings-Outlook-Presentation.pdf</x:v>
      </x:c>
      <x:c r="G202" s="43" t="str">
        <x:v>CoreWeave review</x:v>
      </x:c>
      <x:c r="H202" s="43" t="str">
        <x:v>Read 2026-10-13</x:v>
      </x:c>
      <x:c r="I202" s="43" t="str">
        <x:v>Guidance and ARR kept separate from Q2 recognized revenue.</x:v>
      </x:c>
    </x:row>
    <x:row r="203">
      <x:c r="A203" s="19" t="str">
        <x:v>SRC-CRWV-Q2FY26-CALL</x:v>
      </x:c>
      <x:c r="B203" s="45" t="d">
        <x:v>2026-08-11T00:00:00.000Z</x:v>
      </x:c>
      <x:c r="C203" s="19" t="str">
        <x:v>CoreWeave</x:v>
      </x:c>
      <x:c r="D203" s="43" t="str">
        <x:v>Corrected transcript of Q2 2026 earnings call</x:v>
      </x:c>
      <x:c r="E203" s="43" t="str">
        <x:v>issuer_hosted_transcript</x:v>
      </x:c>
      <x:c r="F203" s="43" t="str">
        <x:v>https://s205.q4cdn.com/133937190/files/doc_financials/2026/q2/CRWV-US-CORRECTED-TRANSCRIPT-CoreWeave-Q2-2026-Earnings-Call-11August2026.pdf</x:v>
      </x:c>
      <x:c r="G203" s="43" t="str">
        <x:v>CoreWeave review</x:v>
      </x:c>
      <x:c r="H203" s="43" t="str">
        <x:v>Read 2026-10-13</x:v>
      </x:c>
      <x:c r="I203" s="43" t="str">
        <x:v>Management claims labeled; more than 300MW activated in June.</x:v>
      </x:c>
    </x:row>
    <x:row r="204">
      <x:c r="A204" s="19" t="str">
        <x:v>SRC-CRWV-CONVERT-DECK-20260917</x:v>
      </x:c>
      <x:c r="B204" s="45" t="d">
        <x:v>2026-09-17T00:00:00.000Z</x:v>
      </x:c>
      <x:c r="C204" s="19" t="str">
        <x:v>CoreWeave / SEC</x:v>
      </x:c>
      <x:c r="D204" s="43" t="str">
        <x:v>Convertible offering supplemental presentation</x:v>
      </x:c>
      <x:c r="E204" s="43" t="str">
        <x:v>8-K Exhibit 99.2</x:v>
      </x:c>
      <x:c r="F204" s="43" t="str">
        <x:v>https://www.sec.gov/Archives/edgar/data/1769628/000176962826000429/crwv2026convertpresentat.htm</x:v>
      </x:c>
      <x:c r="G204" s="43" t="str">
        <x:v>CoreWeave review</x:v>
      </x:c>
      <x:c r="H204" s="43" t="str">
        <x:v>Read 2026-10-13</x:v>
      </x:c>
      <x:c r="I204" s="43" t="str">
        <x:v>Full deck; $40M/MW is scoped signed-contract rate not recognized revenue per effective IT MW.</x:v>
      </x:c>
    </x:row>
    <x:row r="205">
      <x:c r="A205" s="19" t="str">
        <x:v>SRC-CRWV-8K-CONVERT-20260917</x:v>
      </x:c>
      <x:c r="B205" s="45" t="d">
        <x:v>2026-09-17T00:00:00.000Z</x:v>
      </x:c>
      <x:c r="C205" s="19" t="str">
        <x:v>CoreWeave / SEC</x:v>
      </x:c>
      <x:c r="D205" s="43" t="str">
        <x:v>Convertible notes and equity distribution Form 8-K</x:v>
      </x:c>
      <x:c r="E205" s="43" t="str">
        <x:v>8-K</x:v>
      </x:c>
      <x:c r="F205" s="43" t="str">
        <x:v>https://www.sec.gov/Archives/edgar/data/1769628/000176962826000429/crwv-20260917.htm</x:v>
      </x:c>
      <x:c r="G205" s="43" t="str">
        <x:v>CoreWeave review</x:v>
      </x:c>
      <x:c r="H205" s="43" t="str">
        <x:v>Read 2026-10-13</x:v>
      </x:c>
      <x:c r="I205" s="43" t="str">
        <x:v>Initial offering and equity distribution terms read.</x:v>
      </x:c>
    </x:row>
    <x:row r="206">
      <x:c r="A206" s="19" t="str">
        <x:v>SRC-CRWV-424B5-CONVERT-20260918</x:v>
      </x:c>
      <x:c r="B206" s="45" t="d">
        <x:v>2026-09-18T00:00:00.000Z</x:v>
      </x:c>
      <x:c r="C206" s="19" t="str">
        <x:v>CoreWeave / SEC</x:v>
      </x:c>
      <x:c r="D206" s="43" t="str">
        <x:v>Prospectus supplement for 2.875% convertible senior notes due 2033</x:v>
      </x:c>
      <x:c r="E206" s="43" t="str">
        <x:v>424B5</x:v>
      </x:c>
      <x:c r="F206" s="43" t="str">
        <x:v>https://www.sec.gov/Archives/edgar/data/1769628/000162828026062362/coreweave-424b5.htm</x:v>
      </x:c>
      <x:c r="G206" s="43" t="str">
        <x:v>CoreWeave review</x:v>
      </x:c>
      <x:c r="H206" s="43" t="str">
        <x:v>Read 2026-10-13</x:v>
      </x:c>
      <x:c r="I206" s="43" t="str">
        <x:v>Final prospectus; general-purpose use and capped-call terms.</x:v>
      </x:c>
    </x:row>
    <x:row r="207">
      <x:c r="A207" s="19" t="str">
        <x:v>SRC-CRWV-8K-CONVERT-CLOSE-20260922</x:v>
      </x:c>
      <x:c r="B207" s="45" t="d">
        <x:v>2026-09-22T00:00:00.000Z</x:v>
      </x:c>
      <x:c r="C207" s="19" t="str">
        <x:v>CoreWeave / SEC</x:v>
      </x:c>
      <x:c r="D207" s="43" t="str">
        <x:v>Convertible senior notes closing Form 8-K</x:v>
      </x:c>
      <x:c r="E207" s="43" t="str">
        <x:v>8-K</x:v>
      </x:c>
      <x:c r="F207" s="43" t="str">
        <x:v>https://www.sec.gov/Archives/edgar/data/1769628/000176962826000432/crwv-20260917.htm</x:v>
      </x:c>
      <x:c r="G207" s="43" t="str">
        <x:v>CoreWeave review</x:v>
      </x:c>
      <x:c r="H207" s="43" t="str">
        <x:v>Read 2026-10-13</x:v>
      </x:c>
      <x:c r="I207" s="43" t="str">
        <x:v>$4.2B principal; $4.137B net before other expenses; $566.2M capped-call cost.</x:v>
      </x:c>
    </x:row>
    <x:row r="208">
      <x:c r="A208" s="19" t="str">
        <x:v>SRC-NBIS-SEC-INDEX-20261015</x:v>
      </x:c>
      <x:c r="B208" s="45" t="d">
        <x:v>2026-10-15T00:00:00.000Z</x:v>
      </x:c>
      <x:c r="C208" s="19" t="str">
        <x:v>SEC</x:v>
      </x:c>
      <x:c r="D208" s="43" t="str">
        <x:v>Nebius submissions index checked October 15 2026</x:v>
      </x:c>
      <x:c r="E208" s="43" t="str">
        <x:v>regulator_index</x:v>
      </x:c>
      <x:c r="F208" s="43" t="str">
        <x:v>https://data.sec.gov/submissions/CIK0001513845.json</x:v>
      </x:c>
      <x:c r="G208" s="43" t="str">
        <x:v>Nebius commissioning, financing and idle-capacity economics</x:v>
      </x:c>
      <x:c r="H208" s="43" t="str">
        <x:v>Primary</x:v>
      </x:c>
      <x:c r="I208" s="43" t="str">
        <x:v>filings.recent: form, filingDate, accessionNumber, primaryDocument. Latest issuer material 6-K October 1 Inferize; October 13 Form 4 and October 7 Schedule 13G/A do not replace quarterly financials.</x:v>
      </x:c>
    </x:row>
    <x:row r="209">
      <x:c r="A209" s="19" t="str">
        <x:v>SRC-NBIS-INFERIZE-20261001</x:v>
      </x:c>
      <x:c r="B209" s="45" t="d">
        <x:v>2026-10-01T00:00:00.000Z</x:v>
      </x:c>
      <x:c r="C209" s="19" t="str">
        <x:v>Nebius</x:v>
      </x:c>
      <x:c r="D209" s="43" t="str">
        <x:v>Nebius acquires Inferize to strengthen Token Factory production inference</x:v>
      </x:c>
      <x:c r="E209" s="43" t="str">
        <x:v>issuer_release</x:v>
      </x:c>
      <x:c r="F209" s="43" t="str">
        <x:v>https://nebius.com/newsroom/nebius-acquires-inferize-to-strengthen-nebius-token-factorys-production-inference-stack</x:v>
      </x:c>
      <x:c r="G209" s="43" t="str">
        <x:v>Nebius commissioning, financing and idle-capacity economics</x:v>
      </x:c>
      <x:c r="H209" s="43" t="str">
        <x:v>Primary</x:v>
      </x:c>
      <x:c r="I209" s="43" t="str">
        <x:v>Opening acquisition paragraphs; cold-start and standby GPU discussion; transaction terms paragraph. Company claims about reducing idle launch/scale time; no quantified fleet utilization, GPU count, savings or purchase price. Also furnished in October 1 6-K accession 0001104659-26-112824.</x:v>
      </x:c>
    </x:row>
    <x:row r="210">
      <x:c r="A210" s="19" t="str">
        <x:v>SRC-NBIS-NEWSROOM-20261015</x:v>
      </x:c>
      <x:c r="B210" s="45" t="d">
        <x:v>2026-10-15T00:00:00.000Z</x:v>
      </x:c>
      <x:c r="C210" s="19" t="str">
        <x:v>Nebius</x:v>
      </x:c>
      <x:c r="D210" s="43" t="str">
        <x:v>Nebius issuer news and financial-results indices checked October 15</x:v>
      </x:c>
      <x:c r="E210" s="43" t="str">
        <x:v>issuer_index</x:v>
      </x:c>
      <x:c r="F210" s="43" t="str">
        <x:v>https://nebius.com/newsroom</x:v>
      </x:c>
      <x:c r="G210" s="43" t="str">
        <x:v>Nebius commissioning, financing and idle-capacity economics</x:v>
      </x:c>
      <x:c r="H210" s="43" t="str">
        <x:v>Primary</x:v>
      </x:c>
      <x:c r="I210" s="43" t="str">
        <x:v>Latest releases: October 1 Inferize; financials index latest Q2 August 12. Index retrieval date is not a new publication date for the underlying releases. https://nebius.com/financials also checked.</x:v>
      </x:c>
    </x:row>
    <x:row r="211">
      <x:c r="A211" s="19" t="str">
        <x:v>SRC-NBIS-STATUS-EUWEST2-20261015</x:v>
      </x:c>
      <x:c r="B211" s="45" t="d">
        <x:v>2026-10-15T00:00:00.000Z</x:v>
      </x:c>
      <x:c r="C211" s="19" t="str">
        <x:v>Nebius service status</x:v>
      </x:c>
      <x:c r="D211" s="43" t="str">
        <x:v>InfiniBand connectivity issues for GPU clusters in eu-west2</x:v>
      </x:c>
      <x:c r="E211" s="43" t="str">
        <x:v>issuer_status_incident</x:v>
      </x:c>
      <x:c r="F211" s="43" t="str">
        <x:v>https://status.nebius.com/incidents/sdb2htxgyprr</x:v>
      </x:c>
      <x:c r="G211" s="43" t="str">
        <x:v>Nebius availability; no quantified MW impact</x:v>
      </x:c>
      <x:c r="H211" s="43" t="str">
        <x:v>Primary</x:v>
      </x:c>
      <x:c r="I211" s="43" t="str">
        <x:v>Incident sdb2htxgyprr; Investigating 05:34, Update 09:32, Monitoring 13:13 UTC. Issuer says recovery still in progress in 13:13 UTC update. Affected service EU-WEST2 Compute Cloud. No GPU count, MW, fleet-wide outage percentage, lost revenue or SLA credit amount disclosed.</x:v>
      </x:c>
    </x:row>
    <x:row r="212">
      <x:c r="A212" s="19" t="str">
        <x:v>SRC-IREN-SEC-INDEX-20261016</x:v>
      </x:c>
      <x:c r="B212" s="45" t="d">
        <x:v>2026-10-16T00:00:00.000Z</x:v>
      </x:c>
      <x:c r="C212" s="19" t="str">
        <x:v>IREN / SEC</x:v>
      </x:c>
      <x:c r="D212" s="43" t="str">
        <x:v>IREN SEC submissions index checked October 16</x:v>
      </x:c>
      <x:c r="E212" s="43" t="str">
        <x:v>regulator_index</x:v>
      </x:c>
      <x:c r="F212" s="43" t="str">
        <x:v>https://data.sec.gov/submissions/CIK0001878848.json</x:v>
      </x:c>
      <x:c r="G212" s="43" t="str">
        <x:v>IREN acceptance and collateral economics</x:v>
      </x:c>
      <x:c r="H212" s="43" t="str">
        <x:v>Primary</x:v>
      </x:c>
      <x:c r="I212" s="43" t="str">
        <x:v>Latest 10-K filed August 27 for June 30; latest 10-Q filed May 8 for March 31. October 13 annual/proxy packet does not supply a later quarterly period. Financing 8-K filed June 1 reports May 29 agreements.</x:v>
      </x:c>
    </x:row>
    <x:row r="213">
      <x:c r="A213" s="19" t="str">
        <x:v>SRC-IREN-NEWS-20261016</x:v>
      </x:c>
      <x:c r="B213" s="45" t="d">
        <x:v>2026-10-16T00:00:00.000Z</x:v>
      </x:c>
      <x:c r="C213" s="19" t="str">
        <x:v>IREN / SEC</x:v>
      </x:c>
      <x:c r="D213" s="43" t="str">
        <x:v>IREN news index checked October 16</x:v>
      </x:c>
      <x:c r="E213" s="43" t="str">
        <x:v>issuer_index</x:v>
      </x:c>
      <x:c r="F213" s="43" t="str">
        <x:v>https://iren.com/investors/news</x:v>
      </x:c>
      <x:c r="G213" s="43" t="str">
        <x:v>IREN acceptance and collateral economics</x:v>
      </x:c>
      <x:c r="H213" s="43" t="str">
        <x:v>Primary</x:v>
      </x:c>
      <x:c r="I213" s="43" t="str">
        <x:v>Retrieval date, not a new economic announcement date. No later earnings release or tranche acceptance found in the index at retrieval.</x:v>
      </x:c>
    </x:row>
    <x:row r="214">
      <x:c r="A214" s="20" t="str">
        <x:v>SRC-IREN-ARS-20261013</x:v>
      </x:c>
      <x:c r="B214" s="46" t="d">
        <x:v>2026-10-13T00:00:00.000Z</x:v>
      </x:c>
      <x:c r="C214" s="20" t="str">
        <x:v>IREN / SEC</x:v>
      </x:c>
      <x:c r="D214" s="44" t="str">
        <x:v>IREN FY2026 annual report shareholder packet</x:v>
      </x:c>
      <x:c r="E214" s="44" t="str">
        <x:v>annual_report</x:v>
      </x:c>
      <x:c r="F214" s="44" t="str">
        <x:v>https://www.sec.gov/Archives/edgar/data/1878848/000114036126039453/ny20078226x3_ars.pdf</x:v>
      </x:c>
      <x:c r="G214" s="44" t="str">
        <x:v>IREN acceptance and collateral economics</x:v>
      </x:c>
      <x:c r="H214" s="44" t="str">
        <x:v>Primary; ARS text unreadable</x:v>
      </x:c>
      <x:c r="I214" s="44" t="str">
        <x:v>Retrieved successfully but font mapping produced unusable extracted text. No incremental facts attributed to this wrapper. Read August 27 original SEC HTML 10-K for latest annual financial period; wrapper identity/content equivalence not asserted.</x:v>
      </x:c>
    </x:row>
  </x:sheetData>
  <x:pageMargins left="0.7" right="0.7" top="0.75" bottom="0.75" header="0.3" footer="0.3"/>
  <x:tableParts count="1">
    <x:tablePart xmlns:r="http://schemas.openxmlformats.org/officeDocument/2006/relationships" r:id="Rd6ad833067f6462c"/>
  </x:tableParts>
</x:worksheet>
</file>

<file path=xl/worksheets/sheet7.xml><?xml version="1.0" encoding="utf-8"?>
<x:worksheet xmlns:x="http://schemas.openxmlformats.org/spreadsheetml/2006/main">
  <x:sheetPr>
    <x:tabColor rgb="FF8E9AA3"/>
  </x:sheetPr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2">
      <x:c r="A2" s="2" t="str">
        <x:v>How to update this workbook</x:v>
      </x:c>
      <x:c r="B2" s="1"/>
      <x:c r="C2" s="1"/>
      <x:c r="D2" s="1"/>
      <x:c r="E2" s="1"/>
      <x:c r="F2" s="1"/>
    </x:row>
    <x:row r="3">
      <x:c r="A3" s="3" t="str">
        <x:v>The CSV files are the git-diffable input layer; this workbook is the reader-facing calculation layer.</x:v>
      </x:c>
      <x:c r="B3" s="3"/>
      <x:c r="C3" s="3"/>
      <x:c r="D3" s="3"/>
      <x:c r="E3" s="3"/>
      <x:c r="F3" s="3"/>
    </x:row>
    <x:row r="5" ht="32" customHeight="1">
      <x:c r="A5" s="15" t="str">
        <x:v>Rule</x:v>
      </x:c>
      <x:c r="B5" s="17" t="str">
        <x:v>Required action</x:v>
      </x:c>
    </x:row>
    <x:row r="6">
      <x:c r="A6" s="19" t="str">
        <x:v>Power scope</x:v>
      </x:c>
      <x:c r="B6" s="43" t="str">
        <x:v>Label every MW as generation, facility, IT load, or effective utilized IT.</x:v>
      </x:c>
    </x:row>
    <x:row r="7">
      <x:c r="A7" s="19" t="str">
        <x:v>Period</x:v>
      </x:c>
      <x:c r="B7" s="43" t="str">
        <x:v>Match revenue to weighted-average active capacity for the same period.</x:v>
      </x:c>
    </x:row>
    <x:row r="8">
      <x:c r="A8" s="19" t="str">
        <x:v>Attribution</x:v>
      </x:c>
      <x:c r="B8" s="43" t="str">
        <x:v>Keep AI or compute attribution explicit and sourced. Blank is acceptable.</x:v>
      </x:c>
    </x:row>
    <x:row r="9">
      <x:c r="A9" s="19" t="str">
        <x:v>Company method</x:v>
      </x:c>
      <x:c r="B9" s="43" t="str">
        <x:v>Use the registered method; do not force every company through one numerator.</x:v>
      </x:c>
    </x:row>
    <x:row r="10">
      <x:c r="A10" s="19" t="str">
        <x:v>Contracted compute</x:v>
      </x:c>
      <x:c r="B10" s="43" t="str">
        <x:v>Separate contract rate from physical utilization and realized revenue.</x:v>
      </x:c>
    </x:row>
    <x:row r="11">
      <x:c r="A11" s="19" t="str">
        <x:v>Token price</x:v>
      </x:c>
      <x:c r="B11" s="43" t="str">
        <x:v>Use realized expenditure for the Jevons test; list price is a separate series.</x:v>
      </x:c>
    </x:row>
    <x:row r="12">
      <x:c r="A12" s="19" t="str">
        <x:v>Exact break-even</x:v>
      </x:c>
      <x:c r="B12" s="43" t="str">
        <x:v>Price decline d requires volume growth d / (1 - d) to hold revenue flat.</x:v>
      </x:c>
    </x:row>
    <x:row r="13">
      <x:c r="A13" s="19" t="str">
        <x:v>Sources</x:v>
      </x:c>
      <x:c r="B13" s="43" t="str">
        <x:v>Add a source ID before adding a hard-coded observation.</x:v>
      </x:c>
    </x:row>
    <x:row r="14">
      <x:c r="A14" s="19" t="str">
        <x:v>Unknowns</x:v>
      </x:c>
      <x:c r="B14" s="43" t="str">
        <x:v>Leave missing numerators or denominators blank; never replace them with zero.</x:v>
      </x:c>
    </x:row>
    <x:row r="15">
      <x:c r="A15" s="20" t="str">
        <x:v>Corrections</x:v>
      </x:c>
      <x:c r="B15" s="44" t="str">
        <x:v>Retain superseded observations and state what changed.</x:v>
      </x:c>
    </x:row>
  </x:sheetData>
  <x:pageMargins left="0.7" right="0.7" top="0.75" bottom="0.75" header="0.3" footer="0.3"/>
</x:worksheet>
</file>