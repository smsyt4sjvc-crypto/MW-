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00d02992aa44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a5fc38919d04b4e"/>
    <x:sheet xmlns:r="http://schemas.openxmlformats.org/officeDocument/2006/relationships" name="Company Models" sheetId="2" r:id="R8c6a88a63ad249ff"/>
    <x:sheet xmlns:r="http://schemas.openxmlformats.org/officeDocument/2006/relationships" name="Methods" sheetId="3" r:id="Rfa99c586a67e400a"/>
    <x:sheet xmlns:r="http://schemas.openxmlformats.org/officeDocument/2006/relationships" name="Token Economics" sheetId="4" r:id="R1ea7ed8cf6a149cb"/>
    <x:sheet xmlns:r="http://schemas.openxmlformats.org/officeDocument/2006/relationships" name="Benchmarks" sheetId="5" r:id="R1ee6f0d044034f2f"/>
    <x:sheet xmlns:r="http://schemas.openxmlformats.org/officeDocument/2006/relationships" name="Sources" sheetId="6" r:id="R6a4a9e9f8b9d4856"/>
    <x:sheet xmlns:r="http://schemas.openxmlformats.org/officeDocument/2006/relationships" name="Read Me" sheetId="7" r:id="R2688a68d01b24c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23415C"/>
      </x:bottom>
      <x:diagonal/>
    </x:border>
    <x:border>
      <x:left/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/>
      <x:top/>
      <x:bottom style="medium">
        <x:color rgb="FF23415C"/>
      </x:bottom>
      <x:diagonal/>
    </x:border>
    <x:border>
      <x:left/>
      <x:right/>
      <x:top/>
      <x:bottom style="thin">
        <x:color rgb="FFD9E1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847254aadc44b5" /><Relationship Type="http://schemas.openxmlformats.org/officeDocument/2006/relationships/theme" Target="/xl/theme/theme1.xml" Id="Rf778b883711440f1" /><Relationship Type="http://schemas.openxmlformats.org/officeDocument/2006/relationships/sharedStrings" Target="/xl/sharedStrings.xml" Id="R9e3e5ecb92484c4a" /><Relationship Type="http://schemas.openxmlformats.org/officeDocument/2006/relationships/worksheet" Target="/xl/worksheets/sheet1.xml" Id="R6a5fc38919d04b4e" /><Relationship Type="http://schemas.openxmlformats.org/officeDocument/2006/relationships/worksheet" Target="/xl/worksheets/sheet2.xml" Id="R8c6a88a63ad249ff" /><Relationship Type="http://schemas.openxmlformats.org/officeDocument/2006/relationships/worksheet" Target="/xl/worksheets/sheet3.xml" Id="Rfa99c586a67e400a" /><Relationship Type="http://schemas.openxmlformats.org/officeDocument/2006/relationships/worksheet" Target="/xl/worksheets/sheet4.xml" Id="R1ea7ed8cf6a149cb" /><Relationship Type="http://schemas.openxmlformats.org/officeDocument/2006/relationships/worksheet" Target="/xl/worksheets/sheet5.xml" Id="R1ee6f0d044034f2f" /><Relationship Type="http://schemas.openxmlformats.org/officeDocument/2006/relationships/worksheet" Target="/xl/worksheets/sheet6.xml" Id="R6a4a9e9f8b9d4856" /><Relationship Type="http://schemas.openxmlformats.org/officeDocument/2006/relationships/worksheet" Target="/xl/worksheets/sheet7.xml" Id="R2688a68d01b24c6f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32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164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d73596e28a640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3ffda1859764b9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070ca4829cd643e8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0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recognized revenue ($M / effective MW-year)</x:v>
      </x:c>
      <x:c r="B8" s="58" t="str">
        <x:f>'Company Models'!S13</x:f>
      </x:c>
      <x:c r="D8" s="19" t="str">
        <x:v>Nscale / Anthropic</x:v>
      </x:c>
      <x:c r="E8" s="54"/>
      <x:c r="F8" s="54"/>
      <x:c r="G8" s="19" t="str">
        <x:v>Unresolved</x:v>
      </x:c>
      <x:c r="H8" s="19" t="str">
        <x:v>Capacity, term and rate redacted; see primary review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PARTIAL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PARTIAL</x:v>
      </x:c>
      <x:c r="E21" s="58" t="str">
        <x:f>IF('Company Models'!S13="","",'Company Models'!S13)</x:f>
      </x:c>
      <x:c r="F21" s="19" t="str">
        <x:f>'Company Models'!T13</x:f>
        <x:v>Missing numerator or denominator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Operator segment</x:v>
      </x:c>
      <x:c r="D22" s="19" t="str">
        <x:f>'Company Models'!N14</x:f>
        <x:v>PARTIAL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PARTIAL</x:v>
      </x:c>
      <x:c r="E23" s="58" t="str">
        <x:f>IF('Company Models'!S15="","",'Company Models'!S15)</x:f>
      </x:c>
      <x:c r="F23" s="19" t="str">
        <x:f>'Company Models'!T15</x:f>
        <x:v>Missing numerator or denominator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110" customHeight="1">
      <x:c r="A29" s="62" t="str">
        <x:v>NVIDIA claims $25B Blackwell / $40B Rubin per stated GW; the IT boundary is unverified. The 60% increase concerns supplier content only. Matching component capital/revenue requires comparable growth; whole-project cash payback also needs opex, financing, utilization and replacement life.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Q2 2026</x:v>
      </x:c>
      <x:c r="D8" s="27" t="n">
        <x:v>60801000000</x:v>
      </x:c>
      <x:c r="E8" s="29" t="n">
        <x:v>4</x:v>
      </x:c>
      <x:c r="F8" s="31"/>
      <x:c r="G8" s="33"/>
      <x:c r="H8" s="23"/>
      <x:c r="I8" s="35"/>
      <x:c r="J8" s="35"/>
      <x:c r="K8" s="35"/>
      <x:c r="L8" s="35"/>
      <x:c r="M8" s="19" t="str">
        <x:v>SRC-META-10Q-Q2FY26</x:v>
      </x:c>
      <x:c r="N8" s="19" t="str">
        <x:v>PARTIAL</x:v>
      </x:c>
      <x:c r="O8" s="43" t="str">
        <x:v>Total revenue is a diagnostic only and excluded from the numerator. Incremental AI-attributed value, recognized external Meta Compute revenue, period-average active AI IT MW, physical utilization and matched AI PUE are missing. FY2024 fleet PUE 1.08 is historical context only.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H1 2026 / future tranches</x:v>
      </x:c>
      <x:c r="D13" s="27"/>
      <x:c r="E13" s="29"/>
      <x:c r="F13" s="31"/>
      <x:c r="G13" s="33"/>
      <x:c r="H13" s="23" t="str">
        <x:v>Not disclosed</x:v>
      </x:c>
      <x:c r="I13" s="35"/>
      <x:c r="J13" s="35"/>
      <x:c r="K13" s="35"/>
      <x:c r="L13" s="35"/>
      <x:c r="M13" s="19" t="str">
        <x:v>SRC-NSCALE-S1-20260918</x:v>
      </x:c>
      <x:c r="N13" s="19" t="str">
        <x:v>PARTIAL</x:v>
      </x:c>
      <x:c r="O13" s="43" t="str">
        <x:v>Up to $44.6B future payments. Public Anthropic order redacts capacity/rate/term. H1 $136.7M service+lease is a bundled diagnostic; matched AI revenue, average active IT MW, utilization and PUE missing. Old $16.30M rate is reference only.</x:v>
      </x:c>
      <x:c r="P13" s="37" t="str">
        <x:f>IF(OR(D13="",E13="",F13=""),"",D13*E13*F13)</x:f>
      </x:c>
      <x:c r="Q13" s="39" t="str">
        <x:f>IF(G13="","",IF(H13="IT load",G13,IF(H13="Facility power",IF(I13="","",G13/I13),IF(H13="Generation",IF(OR(I13="",J13="",K13=""),"",G13*J13*K13/I13),IF(H13="Effective utilized IT",G13,"")))))</x:f>
      </x:c>
      <x:c r="R13" s="39" t="str">
        <x:f>IF(Q13="","",IF(H13="Effective utilized IT",Q13,IF(L13="","",Q13*L13)))</x:f>
      </x:c>
      <x:c r="S13" s="41" t="str">
        <x:f>IF(OR(P13="",R13="",R13=0),"",P13/R13/1000000)</x:f>
      </x:c>
      <x:c r="T13" s="25" t="str">
        <x:f>IF(S13&lt;&gt;"","Calculated",IF(OR(N13="VENDOR ONLY",N13="CAPEX ONLY"),"Not an operator output","Missing numerator or denominator"))</x:f>
        <x:v>Missing numerator or denominator</x:v>
      </x:c>
    </x:row>
    <x:row r="14">
      <x:c r="A14" s="19" t="str">
        <x:v>xAI / SpaceX</x:v>
      </x:c>
      <x:c r="B14" s="19" t="str">
        <x:v>PROJECT-XAI</x:v>
      </x:c>
      <x:c r="C14" s="19" t="str">
        <x:v>Q2 2026</x:v>
      </x:c>
      <x:c r="D14" s="27" t="n">
        <x:v>1600000000</x:v>
      </x:c>
      <x:c r="E14" s="29" t="n">
        <x:v>4</x:v>
      </x:c>
      <x:c r="F14" s="31"/>
      <x:c r="G14" s="33" t="n">
        <x:v>1200</x:v>
      </x:c>
      <x:c r="H14" s="23" t="str">
        <x:v>IT load</x:v>
      </x:c>
      <x:c r="I14" s="35"/>
      <x:c r="J14" s="35"/>
      <x:c r="K14" s="35"/>
      <x:c r="L14" s="35"/>
      <x:c r="M14" s="19" t="str">
        <x:v>SRC-SPX-10Q-Q2FY26</x:v>
      </x:c>
      <x:c r="N14" s="19" t="str">
        <x:v>PARTIAL</x:v>
      </x:c>
      <x:c r="O14" s="43" t="str">
        <x:v>Recognized incremental cloud-services revenue; modeled average nameplate draw 1.0-1.4 GW (1.2 base) from Q1/Q2 exits. Diagnostic $4.57-$6.40M per total nameplate MW-year only; external capacity allocation physical utilization and PUE are undisclosed so canonical effective-MW output stays blank.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1200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Abilene full build / evidence through 2026-10-07</x:v>
      </x:c>
      <x:c r="D15" s="27"/>
      <x:c r="E15" s="29"/>
      <x:c r="F15" s="31"/>
      <x:c r="G15" s="33" t="n">
        <x:v>1200</x:v>
      </x:c>
      <x:c r="H15" s="23" t="str">
        <x:v>Facility power</x:v>
      </x:c>
      <x:c r="I15" s="35" t="n">
        <x:v>1.3</x:v>
      </x:c>
      <x:c r="J15" s="35"/>
      <x:c r="K15" s="35"/>
      <x:c r="L15" s="35" t="n">
        <x:v>0.8</x:v>
      </x:c>
      <x:c r="M15" s="19" t="str">
        <x:v>SRC-CRUSOE-IMPACT-20260528</x:v>
      </x:c>
      <x:c r="N15" s="19" t="str">
        <x:v>PARTIAL</x:v>
      </x:c>
      <x:c r="O15" s="43" t="str">
        <x:v>Full-build design sensitivity only: 1.2GW facility / 1.2-1.4 design PUE = 857-1,000 IT MW. Utilization 80% is an explicit scenario, not measured. Revenue, period-average active IT MW and external allocation remain missing; canonical revenue/effective-MW stays blank.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923.0769230769231</x:v>
      </x:c>
      <x:c r="R15" s="39" t="n">
        <x:f>IF(Q15="","",IF(H15="Effective utilized IT",Q15,IF(L15="","",Q15*L15)))</x:f>
        <x:v>738.4615384615386</x:v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Missing numerator or denominator</x:v>
      </x:c>
    </x:row>
    <x:row r="16">
      <x:c r="A16" s="19" t="str">
        <x:v>NVIDIA</x:v>
      </x:c>
      <x:c r="B16" s="19" t="str">
        <x:v>VENDOR-NVDA</x:v>
      </x:c>
      <x:c r="C16" s="19" t="str">
        <x:v>Generation guidance 2026-08-26; review 2026-10-08</x:v>
      </x:c>
      <x:c r="D16" s="27"/>
      <x:c r="E16" s="29"/>
      <x:c r="F16" s="31"/>
      <x:c r="G16" s="33"/>
      <x:c r="H16" s="23" t="str">
        <x:v>not_applicable</x:v>
      </x:c>
      <x:c r="I16" s="35"/>
      <x:c r="J16" s="35"/>
      <x:c r="K16" s="35"/>
      <x:c r="L16" s="35"/>
      <x:c r="M16" s="19" t="str">
        <x:v>SRC-NVDA-Q2FY27-001</x:v>
      </x:c>
      <x:c r="N16" s="19" t="str">
        <x:v>VENDOR ONLY</x:v>
      </x:c>
      <x:c r="O16" s="43" t="str">
        <x:v>Supplier PUE not_applicable; 18/25/40B per stated GW opportunities are not verified IT-GW or annual operator revenue; PORTS guarantee density separate</x:v>
      </x:c>
      <x:c r="P16" s="37" t="str">
        <x:f>IF(OR(D16="",E16="",F16=""),"",D16*E16*F16)</x:f>
      </x:c>
      <x:c r="Q16" s="39" t="str">
        <x:f>IF(G16="","",IF(H16="IT load",G16,IF(H16="Facility power",IF(I16="","",G16/I16),IF(H16="Generation",IF(OR(I16="",J16="",K16=""),"",G16*J16*K16/I16),IF(H16="Effective utilized IT",G16,"")))))</x:f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Open</x:v>
      </x:c>
      <x:c r="D17" s="27"/>
      <x:c r="E17" s="29"/>
      <x:c r="F17" s="31"/>
      <x:c r="G17" s="33" t="n">
        <x:v>1000</x:v>
      </x:c>
      <x:c r="H17" s="23" t="str">
        <x:v>IT load</x:v>
      </x:c>
      <x:c r="I17" s="35" t="n">
        <x:v>1</x:v>
      </x:c>
      <x:c r="J17" s="35" t="n">
        <x:v>1</x:v>
      </x:c>
      <x:c r="K17" s="35" t="n">
        <x:v>1</x:v>
      </x:c>
      <x:c r="L17" s="35"/>
      <x:c r="M17" s="19" t="str">
        <x:v>SRC-WB-P2S-001</x:v>
      </x:c>
      <x:c r="N17" s="19" t="str">
        <x:v>VENDOR ONLY</x:v>
      </x:c>
      <x:c r="O17" s="43" t="str">
        <x:v>Custom silicon only; architecture mix required</x:v>
      </x:c>
      <x:c r="P17" s="37" t="str">
        <x:f>IF(OR(D17="",E17="",F17=""),"",D17*E17*F17)</x:f>
      </x:c>
      <x:c r="Q17" s="39" t="n">
        <x:f>IF(G17="","",IF(H17="IT load",G17,IF(H17="Facility power",IF(I17="","",G17/I17),IF(H17="Generation",IF(OR(I17="",J17="",K17=""),"",G17*J17*K17/I17),IF(H17="Effective utilized IT",G17,"")))))</x:f>
        <x:v>1000</x:v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Not reviewed</x:v>
      </x:c>
      <x:c r="D18" s="27"/>
      <x:c r="E18" s="29"/>
      <x:c r="F18" s="31"/>
      <x:c r="G18" s="33"/>
      <x:c r="H18" s="23"/>
      <x:c r="I18" s="35"/>
      <x:c r="J18" s="35"/>
      <x:c r="K18" s="35"/>
      <x:c r="L18" s="35"/>
      <x:c r="M18" s="19" t="str">
        <x:v>SRC-NBIS-BLOOM-CONTRACT</x:v>
      </x:c>
      <x:c r="N18" s="19" t="str">
        <x:v>VENDOR ONLY</x:v>
      </x:c>
      <x:c r="O18" s="43" t="str">
        <x:v>Power supplier; PUE not applicable; queued via Nebius agreement.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Not reviewed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SRC-NBIS-PALANTIR-20260908</x:v>
      </x:c>
      <x:c r="N19" s="20" t="str">
        <x:v>VENDOR ONLY</x:v>
      </x:c>
      <x:c r="O19" s="44" t="str">
        <x:v>Software attribution; own PUE not applicable; queued via Nebius partnership.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Annualized incremental recognized internal AI value plus recognized external Meta Compute revenue</x:v>
      </x:c>
      <x:c r="E8" s="43" t="str">
        <x:v>Time-weighted average active Meta AI IT MW times physical utilization</x:v>
      </x:c>
      <x:c r="F8" s="43" t="str">
        <x:v>Never use total company or advertising revenue; keep internal and external cases separate; use matched PUE only for facility-to-IT conversion</x:v>
      </x:c>
      <x:c r="G8" s="43" t="str">
        <x:v>Partial 2026-10-04; AI attribution active IT MW utilization and matched PUE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Recognized attributable compute revenue</x:v>
      </x:c>
      <x:c r="E13" s="43" t="str">
        <x:v>Period-average effective utilized IT MW</x:v>
      </x:c>
      <x:c r="F13" s="43" t="str">
        <x:v>Keep future contract rate separate; acceptance and financing gates</x:v>
      </x:c>
      <x:c r="G13" s="43" t="str">
        <x:v>Partial; public terms redacted</x:v>
      </x:c>
    </x:row>
    <x:row r="14">
      <x:c r="A14" s="19" t="str">
        <x:v>PROJECT-XAI</x:v>
      </x:c>
      <x:c r="B14" s="19" t="str">
        <x:v>xAI / SpaceX</x:v>
      </x:c>
      <x:c r="C14" s="43" t="str">
        <x:v>Operator segment</x:v>
      </x:c>
      <x:c r="D14" s="43" t="str">
        <x:v>Annualized recognized external cloud-services revenue</x:v>
      </x:c>
      <x:c r="E14" s="43" t="str">
        <x:v>Time-weighted external allocated IT MW times physical utilization</x:v>
      </x:c>
      <x:c r="F14" s="43" t="str">
        <x:v>Use reported nameplate compute draw only as an IT-load exit metric; exclude internal Grok and non-cloud AI revenue; keep PUE guidance contracted sales and realized revenue separate</x:v>
      </x:c>
      <x:c r="G14" s="43" t="str">
        <x:v>Partial 2026-10-06; recognized new-cloud revenue and nameplate bounds established; external allocation and utilization open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Annualized site-attributable recognized or contracted compute revenue</x:v>
      </x:c>
      <x:c r="E15" s="43" t="str">
        <x:v>Time-weighted active IT MW times physical utilization</x:v>
      </x:c>
      <x:c r="F15" s="43" t="str">
        <x:v>Keep secured/exit MW, financing, RPO, prepayments, internal workloads and pass-through hardware separate; report project-capital sensitivities only when revenue is unavailable</x:v>
      </x:c>
      <x:c r="G15" s="43" t="str">
        <x:v>Partial 2026-10-07; Abilene primary capital/PUE sensitivity established; revenue and effective-MW denominator open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Verified deployed IT GW; otherwise stated GW separately</x:v>
      </x:c>
      <x:c r="F16" s="43" t="str">
        <x:v>PUE not_applicable; isolate supplier content from recurring revenue and contingent guarantees</x:v>
      </x:c>
      <x:c r="G16" s="43" t="str">
        <x:v>Partial2026-10-08; generation power scope open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Custom accelerator and networking revenue attributable to capacity</x:v>
      </x:c>
      <x:c r="E17" s="43" t="str">
        <x:v>Deployed IT-load GW</x:v>
      </x:c>
      <x:c r="F17" s="43" t="str">
        <x:v>Preserve custom-only perimeter and architecture mix</x:v>
      </x:c>
      <x:c r="G17" s="43" t="str">
        <x:v>Configured; inputs partial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Attributable capacity service fees</x:v>
      </x:c>
      <x:c r="E18" s="43" t="str">
        <x:v>Guaranteed generation MW service-years</x:v>
      </x:c>
      <x:c r="F18" s="43" t="str">
        <x:v>Fuel and generation scope; not operator revenue; PUE not applicable</x:v>
      </x:c>
      <x:c r="G18" s="43" t="str">
        <x:v>Queued; not reviewed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Attributed incremental AI software revenue</x:v>
      </x:c>
      <x:c r="E19" s="44" t="str">
        <x:v>Matching associated average IT MW</x:v>
      </x:c>
      <x:c r="F19" s="44" t="str">
        <x:v>No total-company revenue; separate third-party compute</x:v>
      </x:c>
      <x:c r="G19" s="44" t="str">
        <x:v>Queued; not reviewed</x:v>
      </x:c>
    </x:row>
  </x:sheetData>
  <x:pageMargins left="0.7" right="0.7" top="0.75" bottom="0.75" header="0.3" footer="0.3"/>
  <x:tableParts count="1">
    <x:tablePart xmlns:r="http://schemas.openxmlformats.org/officeDocument/2006/relationships" r:id="Rad73596e28a640d9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d">
        <x:v>2026-07-31T00:00:00.000Z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d">
        <x:v>2026-07-31T00:00:00.000Z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d">
        <x:v>2026-07-31T00:00:00.000Z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d">
        <x:v>2026-07-31T00:00:00.000Z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d">
        <x:v>2026-09-02T00:00:00.000Z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d">
        <x:v>2026-09-02T00:00:00.000Z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d">
        <x:v>2026-09-02T00:00:00.000Z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d">
        <x:v>2026-09-02T00:00:00.000Z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d">
        <x:v>2026-09-05T00:00:00.000Z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d">
        <x:v>2026-09-06T00:00:00.000Z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d">
        <x:v>2026-09-06T00:00:00.000Z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d">
        <x:v>2026-09-06T00:00:00.000Z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d">
        <x:v>2026-09-06T00:00:00.000Z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d">
        <x:v>2026-09-06T00:00:00.000Z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d">
        <x:v>2026-09-06T00:00:00.000Z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5" t="d">
        <x:v>2026-09-06T00:00:00.000Z</x:v>
      </x:c>
      <x:c r="B20" s="19" t="str">
        <x:v>Vercel</x:v>
      </x:c>
      <x:c r="C20" s="19" t="str">
        <x:v>OpenAI spend share</x:v>
      </x:c>
      <x:c r="D20" s="47" t="n">
        <x:v>0.215</x:v>
      </x:c>
      <x:c r="E20" s="19" t="str">
        <x:v>percent</x:v>
      </x:c>
      <x:c r="F20" s="19" t="str">
        <x:v>endpoint</x:v>
      </x:c>
      <x:c r="G20" s="19" t="str">
        <x:v>SRC-TOKEN-WE-SEP06-001</x:v>
      </x:c>
      <x:c r="H20" s="19" t="str">
        <x:v>Reported</x:v>
      </x:c>
      <x:c r="I20" s="43" t="str">
        <x:v>Lab-level share</x:v>
      </x:c>
    </x:row>
    <x:row r="21">
      <x:c r="A21" s="45" t="d">
        <x:v>2026-09-09T00:00:00.000Z</x:v>
      </x:c>
      <x:c r="B21" s="19" t="str">
        <x:v>Ramp AI Index</x:v>
      </x:c>
      <x:c r="C21" s="19" t="str">
        <x:v>Effective price per million tokens</x:v>
      </x:c>
      <x:c r="D21" s="47" t="n">
        <x:v>0.68</x:v>
      </x:c>
      <x:c r="E21" s="19" t="str">
        <x:v>USD per million tokens</x:v>
      </x:c>
      <x:c r="F21" s="19" t="str">
        <x:v>publication_week</x:v>
      </x:c>
      <x:c r="G21" s="19" t="str">
        <x:v>SRC-RAMP-AIINDEX-SEP2026</x:v>
      </x:c>
      <x:c r="H21" s="19" t="str">
        <x:v>Reported</x:v>
      </x:c>
      <x:c r="I21" s="43" t="str">
        <x:v>Down 41 percent from 2026 peak of 1.15 in March</x:v>
      </x:c>
    </x:row>
    <x:row r="22">
      <x:c r="A22" s="45" t="d">
        <x:v>2026-09-20T00:00:00.000Z</x:v>
      </x:c>
      <x:c r="B22" s="19" t="str">
        <x:v>Ramp AI Index</x:v>
      </x:c>
      <x:c r="C22" s="19" t="str">
        <x:v>Total model-attributed spend</x:v>
      </x:c>
      <x:c r="D22" s="47" t="n">
        <x:v>27900000</x:v>
      </x:c>
      <x:c r="E22" s="19" t="str">
        <x:v>USD</x:v>
      </x:c>
      <x:c r="F22" s="19" t="str">
        <x:v>7D</x:v>
      </x:c>
      <x:c r="G22" s="19" t="str">
        <x:v>SRC-RAMP-AIINDEX-WE20260920</x:v>
      </x:c>
      <x:c r="H22" s="19" t="str">
        <x:v>Reported</x:v>
      </x:c>
      <x:c r="I22" s="43" t="str">
        <x:v>All models in connected business sample</x:v>
      </x:c>
    </x:row>
    <x:row r="23">
      <x:c r="A23" s="45" t="d">
        <x:v>2026-09-20T00:00:00.000Z</x:v>
      </x:c>
      <x:c r="B23" s="19" t="str">
        <x:v>Ramp AI Index</x:v>
      </x:c>
      <x:c r="C23" s="19" t="str">
        <x:v>OpenAI provider spend</x:v>
      </x:c>
      <x:c r="D23" s="47" t="n">
        <x:v>13700000</x:v>
      </x:c>
      <x:c r="E23" s="19" t="str">
        <x:v>USD</x:v>
      </x:c>
      <x:c r="F23" s="19" t="str">
        <x:v>7D</x:v>
      </x:c>
      <x:c r="G23" s="19" t="str">
        <x:v>SRC-RAMP-AIINDEX-WE20260920</x:v>
      </x:c>
      <x:c r="H23" s="19" t="str">
        <x:v>Reported</x:v>
      </x:c>
      <x:c r="I23" s="43" t="str">
        <x:v>Provider total from weekly volume chart</x:v>
      </x:c>
    </x:row>
    <x:row r="24">
      <x:c r="A24" s="45" t="d">
        <x:v>2026-09-20T00:00:00.000Z</x:v>
      </x:c>
      <x:c r="B24" s="19" t="str">
        <x:v>Ramp AI Index</x:v>
      </x:c>
      <x:c r="C24" s="19" t="str">
        <x:v>Anthropic provider spend</x:v>
      </x:c>
      <x:c r="D24" s="47" t="n">
        <x:v>13100000</x:v>
      </x:c>
      <x:c r="E24" s="19" t="str">
        <x:v>USD</x:v>
      </x:c>
      <x:c r="F24" s="19" t="str">
        <x:v>7D</x:v>
      </x:c>
      <x:c r="G24" s="19" t="str">
        <x:v>SRC-RAMP-AIINDEX-WE20260920</x:v>
      </x:c>
      <x:c r="H24" s="19" t="str">
        <x:v>Reported</x:v>
      </x:c>
      <x:c r="I24" s="43" t="str">
        <x:v>Provider total from weekly volume chart</x:v>
      </x:c>
    </x:row>
    <x:row r="25">
      <x:c r="A25" s="45" t="d">
        <x:v>2026-09-20T00:00:00.000Z</x:v>
      </x:c>
      <x:c r="B25" s="19" t="str">
        <x:v>Ramp AI Index</x:v>
      </x:c>
      <x:c r="C25" s="19" t="str">
        <x:v>xAI provider spend</x:v>
      </x:c>
      <x:c r="D25" s="47" t="n">
        <x:v>633900</x:v>
      </x:c>
      <x:c r="E25" s="19" t="str">
        <x:v>USD</x:v>
      </x:c>
      <x:c r="F25" s="19" t="str">
        <x:v>7D</x:v>
      </x:c>
      <x:c r="G25" s="19" t="str">
        <x:v>SRC-RAMP-AIINDEX-WE20260920</x:v>
      </x:c>
      <x:c r="H25" s="19" t="str">
        <x:v>Reported</x:v>
      </x:c>
      <x:c r="I25" s="43" t="str">
        <x:v>Provider total from weekly volume chart</x:v>
      </x:c>
    </x:row>
    <x:row r="26">
      <x:c r="A26" s="45" t="d">
        <x:v>2026-09-20T00:00:00.000Z</x:v>
      </x:c>
      <x:c r="B26" s="19" t="str">
        <x:v>Ramp AI Index</x:v>
      </x:c>
      <x:c r="C26" s="19" t="str">
        <x:v>Google provider spend</x:v>
      </x:c>
      <x:c r="D26" s="47" t="n">
        <x:v>429500</x:v>
      </x:c>
      <x:c r="E26" s="19" t="str">
        <x:v>USD</x:v>
      </x:c>
      <x:c r="F26" s="19" t="str">
        <x:v>7D</x:v>
      </x:c>
      <x:c r="G26" s="19" t="str">
        <x:v>SRC-RAMP-AIINDEX-WE20260920</x:v>
      </x:c>
      <x:c r="H26" s="19" t="str">
        <x:v>Reported</x:v>
      </x:c>
      <x:c r="I26" s="43" t="str">
        <x:v>Provider total from weekly volume chart</x:v>
      </x:c>
    </x:row>
    <x:row r="27">
      <x:c r="A27" s="45" t="d">
        <x:v>2026-09-20T00:00:00.000Z</x:v>
      </x:c>
      <x:c r="B27" s="19" t="str">
        <x:v>Ramp AI Index</x:v>
      </x:c>
      <x:c r="C27" s="19" t="str">
        <x:v>GPT-6 Astra spend</x:v>
      </x:c>
      <x:c r="D27" s="47" t="n">
        <x:v>5300000</x:v>
      </x:c>
      <x:c r="E27" s="19" t="str">
        <x:v>USD</x:v>
      </x:c>
      <x:c r="F27" s="19" t="str">
        <x:v>7D</x:v>
      </x:c>
      <x:c r="G27" s="19" t="str">
        <x:v>SRC-RAMP-AIINDEX-WE20260920</x:v>
      </x:c>
      <x:c r="H27" s="19" t="str">
        <x:v>Reported</x:v>
      </x:c>
      <x:c r="I27" s="43" t="str">
        <x:v>Model rank 1</x:v>
      </x:c>
    </x:row>
    <x:row r="28">
      <x:c r="A28" s="45" t="d">
        <x:v>2026-09-20T00:00:00.000Z</x:v>
      </x:c>
      <x:c r="B28" s="19" t="str">
        <x:v>Ramp AI Index</x:v>
      </x:c>
      <x:c r="C28" s="19" t="str">
        <x:v>Claude Opus 5 spend</x:v>
      </x:c>
      <x:c r="D28" s="47" t="n">
        <x:v>4800000</x:v>
      </x:c>
      <x:c r="E28" s="19" t="str">
        <x:v>USD</x:v>
      </x:c>
      <x:c r="F28" s="19" t="str">
        <x:v>7D</x:v>
      </x:c>
      <x:c r="G28" s="19" t="str">
        <x:v>SRC-RAMP-AIINDEX-WE20260920</x:v>
      </x:c>
      <x:c r="H28" s="19" t="str">
        <x:v>Reported</x:v>
      </x:c>
      <x:c r="I28" s="43" t="str">
        <x:v>Model rank 2</x:v>
      </x:c>
    </x:row>
    <x:row r="29">
      <x:c r="A29" s="45" t="d">
        <x:v>2026-09-20T00:00:00.000Z</x:v>
      </x:c>
      <x:c r="B29" s="19" t="str">
        <x:v>Ramp AI Index</x:v>
      </x:c>
      <x:c r="C29" s="19" t="str">
        <x:v>GPT-5.6 Sol spend</x:v>
      </x:c>
      <x:c r="D29" s="47" t="n">
        <x:v>3200000</x:v>
      </x:c>
      <x:c r="E29" s="19" t="str">
        <x:v>USD</x:v>
      </x:c>
      <x:c r="F29" s="19" t="str">
        <x:v>7D</x:v>
      </x:c>
      <x:c r="G29" s="19" t="str">
        <x:v>SRC-RAMP-AIINDEX-WE20260920</x:v>
      </x:c>
      <x:c r="H29" s="19" t="str">
        <x:v>Reported</x:v>
      </x:c>
      <x:c r="I29" s="43" t="str">
        <x:v>Model rank 3</x:v>
      </x:c>
    </x:row>
    <x:row r="30">
      <x:c r="A30" s="45" t="d">
        <x:v>2026-09-20T00:00:00.000Z</x:v>
      </x:c>
      <x:c r="B30" s="19" t="str">
        <x:v>Ramp AI Index</x:v>
      </x:c>
      <x:c r="C30" s="19" t="str">
        <x:v>Claude Opus 4.8 spend</x:v>
      </x:c>
      <x:c r="D30" s="47" t="n">
        <x:v>2100000</x:v>
      </x:c>
      <x:c r="E30" s="19" t="str">
        <x:v>USD</x:v>
      </x:c>
      <x:c r="F30" s="19" t="str">
        <x:v>7D</x:v>
      </x:c>
      <x:c r="G30" s="19" t="str">
        <x:v>SRC-RAMP-AIINDEX-WE20260920</x:v>
      </x:c>
      <x:c r="H30" s="19" t="str">
        <x:v>Reported</x:v>
      </x:c>
      <x:c r="I30" s="43" t="str">
        <x:v>Model rank 4</x:v>
      </x:c>
    </x:row>
    <x:row r="31">
      <x:c r="A31" s="45" t="d">
        <x:v>2026-09-20T00:00:00.000Z</x:v>
      </x:c>
      <x:c r="B31" s="19" t="str">
        <x:v>Ramp AI Index</x:v>
      </x:c>
      <x:c r="C31" s="19" t="str">
        <x:v>Claude Fable 5.1 spend</x:v>
      </x:c>
      <x:c r="D31" s="47" t="n">
        <x:v>1800000</x:v>
      </x:c>
      <x:c r="E31" s="19" t="str">
        <x:v>USD</x:v>
      </x:c>
      <x:c r="F31" s="19" t="str">
        <x:v>7D</x:v>
      </x:c>
      <x:c r="G31" s="19" t="str">
        <x:v>SRC-RAMP-AIINDEX-WE20260920</x:v>
      </x:c>
      <x:c r="H31" s="19" t="str">
        <x:v>Reported</x:v>
      </x:c>
      <x:c r="I31" s="43" t="str">
        <x:v>Model rank 5</x:v>
      </x:c>
    </x:row>
    <x:row r="32">
      <x:c r="A32" s="46" t="d">
        <x:v>2026-09-20T00:00:00.000Z</x:v>
      </x:c>
      <x:c r="B32" s="20" t="str">
        <x:v>Ramp AI Index</x:v>
      </x:c>
      <x:c r="C32" s="20" t="str">
        <x:v>Claude Sonnet 5 spend</x:v>
      </x:c>
      <x:c r="D32" s="48" t="n">
        <x:v>1500000</x:v>
      </x:c>
      <x:c r="E32" s="20" t="str">
        <x:v>USD</x:v>
      </x:c>
      <x:c r="F32" s="20" t="str">
        <x:v>7D</x:v>
      </x:c>
      <x:c r="G32" s="20" t="str">
        <x:v>SRC-RAMP-AIINDEX-WE20260920</x:v>
      </x:c>
      <x:c r="H32" s="20" t="str">
        <x:v>Reported</x:v>
      </x:c>
      <x:c r="I32" s="44" t="str">
        <x:v>Model rank 6</x:v>
      </x:c>
    </x:row>
  </x:sheetData>
  <x:pageMargins left="0.7" right="0.7" top="0.75" bottom="0.75" header="0.3" footer="0.3"/>
  <x:tableParts count="1">
    <x:tablePart xmlns:r="http://schemas.openxmlformats.org/officeDocument/2006/relationships" r:id="Re3ffda1859764b9e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Numeric columns require verified IT-load GW; scope-unresolved supplier claims remain in notes.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/>
      <x:c r="D7" s="54"/>
      <x:c r="E7" s="54"/>
      <x:c r="F7" s="54"/>
      <x:c r="G7" s="54"/>
      <x:c r="H7" s="19" t="str">
        <x:v>SRC-NSCALE-S1-20260918</x:v>
      </x:c>
      <x:c r="I7" s="19" t="str">
        <x:v>Open</x:v>
      </x:c>
      <x:c r="J7" s="43" t="str">
        <x:v>Inherited capex/rate estimates retained as reference_only atomic history. Current primary contract capacity/term/rate are redacted; no verified project payback.</x:v>
      </x:c>
      <x:c r="K7" s="56" t="str">
        <x:f>IF(OR(E7="",G7="",G7=0),"",E7/G7)</x:f>
      </x:c>
      <x:c r="L7" s="56" t="str">
        <x:f>IF(OR(E7="",F7="",F7=0),"",E7/F7)</x:f>
      </x:c>
    </x:row>
    <x:row r="8">
      <x:c r="A8" s="19" t="str">
        <x:v>NVIDIA</x:v>
      </x:c>
      <x:c r="B8" s="19" t="str">
        <x:v>Hopper</x:v>
      </x:c>
      <x:c r="C8" s="54"/>
      <x:c r="D8" s="54"/>
      <x:c r="E8" s="54"/>
      <x:c r="F8" s="54"/>
      <x:c r="G8" s="54"/>
      <x:c r="H8" s="19" t="str">
        <x:v>SRC-NVDA-Q2FY27-001</x:v>
      </x:c>
      <x:c r="I8" s="19" t="str">
        <x:v>Company claim</x:v>
      </x:c>
      <x:c r="J8" s="43" t="str">
        <x:v>$18B per stated GW supplier opportunity; IT/facility boundary unstated. IT-normalized numeric cell intentionally blank; not annual revenue.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/>
      <x:c r="D9" s="54"/>
      <x:c r="E9" s="54"/>
      <x:c r="F9" s="54"/>
      <x:c r="G9" s="54"/>
      <x:c r="H9" s="19" t="str">
        <x:v>SRC-NVDA-Q2FY27-001</x:v>
      </x:c>
      <x:c r="I9" s="19" t="str">
        <x:v>Company claim</x:v>
      </x:c>
      <x:c r="J9" s="43" t="str">
        <x:v>$25B per stated GW supplier opportunity; IT/facility boundary unstated. IT-normalized numeric cell intentionally blank; not annual revenue.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/>
      <x:c r="D10" s="54"/>
      <x:c r="E10" s="54"/>
      <x:c r="F10" s="54"/>
      <x:c r="G10" s="54"/>
      <x:c r="H10" s="19" t="str">
        <x:v>SRC-NVDA-Q2FY27-001</x:v>
      </x:c>
      <x:c r="I10" s="19" t="str">
        <x:v>Company claim</x:v>
      </x:c>
      <x:c r="J10" s="43" t="str">
        <x:v>$40B per stated GW supplier opportunity; IT/facility boundary unstated. IT-normalized numeric cell intentionally blank; not annual revenue.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Abilene full-build facility/JV</x:v>
      </x:c>
      <x:c r="C11" s="54"/>
      <x:c r="D11" s="54" t="n">
        <x:v>16.25</x:v>
      </x:c>
      <x:c r="E11" s="54" t="n">
        <x:v>16.25</x:v>
      </x:c>
      <x:c r="F11" s="54"/>
      <x:c r="G11" s="54"/>
      <x:c r="H11" s="19" t="str">
        <x:v>SRC-CRUSOE-ABILENE-20250521</x:v>
      </x:c>
      <x:c r="I11" s="19" t="str">
        <x:v>Derived</x:v>
      </x:c>
      <x:c r="J11" s="43" t="str">
        <x:v>$15B / (1.2GW facility / 1.3 design PUE). Range $15.0B-$17.5B per IT GW at 1.2-1.4 design PUE. Project/facility capital, not compute-content spend or revenue.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d">
        <x:v>2026-09-08T00:00:00.000Z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d">
        <x:v>2026-09-04T00:00:00.000Z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d">
        <x:v>2026-08-26T00:00:00.000Z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d">
        <x:v>2026-08-13T00:00:00.000Z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d">
        <x:v>2026-08-11T00:00:00.000Z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d">
        <x:v>2026-09-02T00:00:00.000Z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d">
        <x:v>2026-09-06T00:00:00.000Z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d">
        <x:v>2026-08-19T00:00:00.000Z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d">
        <x:v>2026-08-26T00:00:00.000Z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https://investor.nvidia.com/files/content_files/TRANSCRIPT_-NVIDIA-Corp-NVDA-US-Q2-2027-Earnings-Call-26-August-2026-5_00-PM-ET.pdf</x:v>
      </x:c>
      <x:c r="G13" s="43" t="str">
        <x:v>Hopper Blackwell and Rubin content per GW</x:v>
      </x:c>
      <x:c r="H13" s="43" t="str">
        <x:v>Primary read; scope qualified</x:v>
      </x:c>
      <x:c r="I13" s="43" t="str">
        <x:v>Exact original pinned October 8. Management revenue opportunity per stated GW; call does not explicitly define IT versus facility boundary for ladder. Not realized annual cloud revenue.</x:v>
      </x:c>
    </x:row>
    <x:row r="14">
      <x:c r="A14" s="19" t="str">
        <x:v>SRC-XAI-GS-RECAP-20260910</x:v>
      </x:c>
      <x:c r="B14" s="45" t="d">
        <x:v>2026-09-10T00:00:00.000Z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d">
        <x:v>2026-09-10T00:00:00.000Z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d">
        <x:v>2026-09-10T00:00:00.000Z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d">
        <x:v>2026-09-10T00:00:00.000Z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d">
        <x:v>2026-06-22T00:00:00.000Z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d">
        <x:v>2026-03-11T00:00:00.000Z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d">
        <x:v>2026-06-12T00:00:00.000Z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d">
        <x:v>2025-06-30T00:00:00.000Z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d">
        <x:v>2026-09-11T00:00:00.000Z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d">
        <x:v>2025-07-22T00:00:00.000Z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d">
        <x:v>2025-09-23T00:00:00.000Z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d">
        <x:v>2025-05-21T00:00:00.000Z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d">
        <x:v>2026-03-11T00:00:00.000Z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d">
        <x:v>2026-09-10T00:00:00.000Z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d">
        <x:v>2026-03-02T00:00:00.000Z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d">
        <x:v>2026-08-12T00:00:00.000Z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d">
        <x:v>2026-05-07T00:00:00.000Z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d">
        <x:v>2026-08-11T00:00:00.000Z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d">
        <x:v>2026-08-10T00:00:00.000Z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d">
        <x:v>2026-08-07T00:00:00.000Z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d">
        <x:v>2026-08-07T00:00:00.000Z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d">
        <x:v>2026-05-18T00:00:00.000Z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d">
        <x:v>2026-04-09T00:00:00.000Z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d">
        <x:v>2026-04-30T00:00:00.000Z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d">
        <x:v>2026-08-12T00:00:00.000Z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d">
        <x:v>2026-08-12T00:00:00.000Z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d">
        <x:v>2026-08-12T00:00:00.000Z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d">
        <x:v>2026-08-12T00:00:00.000Z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d">
        <x:v>2026-07-30T00:00:00.000Z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d">
        <x:v>2026-04-30T00:00:00.000Z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d">
        <x:v>2026-04-30T00:00:00.000Z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d">
        <x:v>2026-04-30T00:00:00.000Z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d">
        <x:v>2026-03-16T00:00:00.000Z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d">
        <x:v>2026-05-20T00:00:00.000Z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d">
        <x:v>2026-07-17T00:00:00.000Z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d">
        <x:v>2026-08-24T00:00:00.000Z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d">
        <x:v>2026-08-24T00:00:00.000Z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d">
        <x:v>2026-08-24T00:00:00.000Z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d">
        <x:v>2026-09-08T00:00:00.000Z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d">
        <x:v>2026-09-15T00:00:00.000Z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d">
        <x:v>2026-08-27T00:00:00.000Z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d">
        <x:v>2026-05-08T00:00:00.000Z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d">
        <x:v>2026-05-08T00:00:00.000Z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d">
        <x:v>2026-08-27T00:00:00.000Z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d">
        <x:v>2026-08-27T00:00:00.000Z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d">
        <x:v>2025-11-03T00:00:00.000Z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d">
        <x:v>2026-02-05T00:00:00.000Z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d">
        <x:v>2026-05-29T00:00:00.000Z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d">
        <x:v>2026-08-27T00:00:00.000Z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d">
        <x:v>2026-08-27T00:00:00.000Z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d">
        <x:v>2026-08-27T00:00:00.000Z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d">
        <x:v>2026-08-27T00:00:00.000Z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d">
        <x:v>2026-08-13T00:00:00.000Z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d">
        <x:v>2026-05-26T00:00:00.000Z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Re-read 8-K Item1.01 and Ex99.1: guarantee is IREN parent for its subsidiary, not NVIDIA. This exhibit describes an unnamed $3.4B customer contract and does not identify 60MW or NVIDIA as the customer; prior locator/title alone cannot establish those claims. See SRC-IREN-DELL-EX991-20260526.</x:v>
      </x:c>
    </x:row>
    <x:row r="70">
      <x:c r="A70" s="19" t="str">
        <x:v>SRC-IREN-PRINCE-GEORGE-SITE-20260916</x:v>
      </x:c>
      <x:c r="B70" s="45" t="d">
        <x:v>2026-09-16T00:00:00.000Z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d">
        <x:v>2026-09-16T00:00:00.000Z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d">
        <x:v>2026-09-08T00:00:00.000Z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d">
        <x:v>2026-07-29T00:00:00.000Z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d">
        <x:v>2026-04-29T00:00:00.000Z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d">
        <x:v>2026-07-29T00:00:00.000Z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d">
        <x:v>2026-07-29T00:00:00.000Z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d">
        <x:v>2026-09-02T00:00:00.000Z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d">
        <x:v>2026-09-02T00:00:00.000Z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d">
        <x:v>2026-09-17T00:00:00.000Z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d">
        <x:v>2026-07-14T00:00:00.000Z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d">
        <x:v>2025-10-28T00:00:00.000Z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d">
        <x:v>2026-04-27T00:00:00.000Z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d">
        <x:v>2024-09-20T00:00:00.000Z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d">
        <x:v>2024-09-20T00:00:00.000Z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d">
        <x:v>2026-02-06T00:00:00.000Z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d">
        <x:v>2026-07-31T00:00:00.000Z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d">
        <x:v>2026-07-30T00:00:00.000Z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d">
        <x:v>2024-12-03T00:00:00.000Z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d">
        <x:v>2026-04-20T00:00:00.000Z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d">
        <x:v>2026-04-20T00:00:00.000Z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d">
        <x:v>2026-02-27T00:00:00.000Z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d">
        <x:v>2026-06-10T00:00:00.000Z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d">
        <x:v>2026-07-31T00:00:00.000Z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d">
        <x:v>2026-07-31T00:00:00.000Z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d">
        <x:v>2025-06-11T00:00:00.000Z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d">
        <x:v>2026-02-05T00:00:00.000Z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d">
        <x:v>2026-07-23T00:00:00.000Z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d">
        <x:v>2026-07-22T00:00:00.000Z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d">
        <x:v>2026-07-22T00:00:00.000Z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d">
        <x:v>2026-05-18T00:00:00.000Z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d">
        <x:v>2026-06-05T00:00:00.000Z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19" t="str">
        <x:v>SRC-GOOG-EQUITY-RAISE-20260604</x:v>
      </x:c>
      <x:c r="B109" s="45" t="d">
        <x:v>2026-06-04T00:00:00.000Z</x:v>
      </x:c>
      <x:c r="C109" s="19" t="str">
        <x:v>Alphabet Inc. / SEC</x:v>
      </x:c>
      <x:c r="D109" s="43" t="str">
        <x:v>AI infrastructure equity capital raise</x:v>
      </x:c>
      <x:c r="E109" s="43" t="str">
        <x:v>8-K_Exhibit_99.1</x:v>
      </x:c>
      <x:c r="F109" s="43" t="str">
        <x:v>https://www.sec.gov/Archives/edgar/data/1652044/000119312526257724/d83560dex991.htm</x:v>
      </x:c>
      <x:c r="G109" s="43" t="str">
        <x:v>alphabet_gcp;contract_economics;capex</x:v>
      </x:c>
      <x:c r="H109" s="43" t="str">
        <x:v>primary_read</x:v>
      </x:c>
      <x:c r="I109" s="43" t="str">
        <x:v>Offering composition and AI infrastructure use of proceeds</x:v>
      </x:c>
    </x:row>
    <x:row r="110">
      <x:c r="A110" s="19" t="str">
        <x:v>SRC-RAMP-AIINDEX-WE20260920</x:v>
      </x:c>
      <x:c r="B110" s="45" t="d">
        <x:v>2026-09-20T00:00:00.000Z</x:v>
      </x:c>
      <x:c r="C110" s="19" t="str">
        <x:v>Ramp Economics Lab</x:v>
      </x:c>
      <x:c r="D110" s="43" t="str">
        <x:v>Ramp AI Index weekly token and spend volumes week ending September 20 2026</x:v>
      </x:c>
      <x:c r="E110" s="43" t="str">
        <x:v>Interactive dashboard capture</x:v>
      </x:c>
      <x:c r="F110" s="43" t="str">
        <x:v>https://ramp.com/data/ai-index</x:v>
      </x:c>
      <x:c r="G110" s="43" t="str">
        <x:v>Weekly model attributed spend provider spend model spend and token volume series availability</x:v>
      </x:c>
      <x:c r="H110" s="43" t="str">
        <x:v>Primary capture</x:v>
      </x:c>
      <x:c r="I110" s="43" t="str">
        <x:v>Exact selected week values captured from Ramp UI screenshot supplied by user on 2026-09-22</x:v>
      </x:c>
    </x:row>
    <x:row r="111">
      <x:c r="A111" s="19" t="str">
        <x:v>SRC-RAMP-AIINDEX-SEP2026</x:v>
      </x:c>
      <x:c r="B111" s="45" t="d">
        <x:v>2026-09-09T00:00:00.000Z</x:v>
      </x:c>
      <x:c r="C111" s="19" t="str">
        <x:v>Ramp Economics Lab</x:v>
      </x:c>
      <x:c r="D111" s="43" t="str">
        <x:v>Cracks in the AI Thesis Part 2</x:v>
      </x:c>
      <x:c r="E111" s="43" t="str">
        <x:v>Web</x:v>
      </x:c>
      <x:c r="F111" s="43" t="str">
        <x:v>https://ramp.com/data/ai-index-sept-2026</x:v>
      </x:c>
      <x:c r="G111" s="43" t="str">
        <x:v>Effective token price price decline business mix and methodology</x:v>
      </x:c>
      <x:c r="H111" s="43" t="str">
        <x:v>Primary</x:v>
      </x:c>
      <x:c r="I111" s="43" t="str">
        <x:v>Ramp reported 0.68 USD per million tokens and a 41 percent decline from the 2026 peak</x:v>
      </x:c>
    </x:row>
    <x:row r="112">
      <x:c r="A112" s="19" t="str">
        <x:v>SRC-META-10K-FY25</x:v>
      </x:c>
      <x:c r="B112" s="45" t="d">
        <x:v>2026-01-29T00:00:00.000Z</x:v>
      </x:c>
      <x:c r="C112" s="19" t="str">
        <x:v>Meta Platforms Inc. / SEC</x:v>
      </x:c>
      <x:c r="D112" s="43" t="str">
        <x:v>FY2025 Form 10-K</x:v>
      </x:c>
      <x:c r="E112" s="43" t="str">
        <x:v>10-K</x:v>
      </x:c>
      <x:c r="F112" s="43" t="str">
        <x:v>https://www.sec.gov/Archives/edgar/data/1326801/000162828026003942/meta-20251231.htm</x:v>
      </x:c>
      <x:c r="G112" s="43" t="str">
        <x:v>meta;revenue_per_mw;contract_economics;capex</x:v>
      </x:c>
      <x:c r="H112" s="43" t="str">
        <x:v>primary_read</x:v>
      </x:c>
      <x:c r="I112" s="43" t="str">
        <x:v>Filing index; MD&amp;A; revenue; leases and contractual commitments</x:v>
      </x:c>
    </x:row>
    <x:row r="113">
      <x:c r="A113" s="19" t="str">
        <x:v>SRC-META-10Q-Q2FY26</x:v>
      </x:c>
      <x:c r="B113" s="45" t="d">
        <x:v>2026-07-30T00:00:00.000Z</x:v>
      </x:c>
      <x:c r="C113" s="19" t="str">
        <x:v>Meta Platforms Inc. / SEC</x:v>
      </x:c>
      <x:c r="D113" s="43" t="str">
        <x:v>Q2 2026 Form 10-Q</x:v>
      </x:c>
      <x:c r="E113" s="43" t="str">
        <x:v>10-Q</x:v>
      </x:c>
      <x:c r="F113" s="43" t="str">
        <x:v>https://www.sec.gov/Archives/edgar/data/1326801/000162828026050705/meta-20260630.htm</x:v>
      </x:c>
      <x:c r="G113" s="43" t="str">
        <x:v>meta;revenue_per_mw;contract_economics;capex</x:v>
      </x:c>
      <x:c r="H113" s="43" t="str">
        <x:v>primary_read</x:v>
      </x:c>
      <x:c r="I113" s="43" t="str">
        <x:v>Revenue, VIEs, property, debt, commitments, subsequent event and MD&amp;A</x:v>
      </x:c>
    </x:row>
    <x:row r="114">
      <x:c r="A114" s="19" t="str">
        <x:v>SRC-META-Q2FY26-ER</x:v>
      </x:c>
      <x:c r="B114" s="45" t="d">
        <x:v>2026-07-29T00:00:00.000Z</x:v>
      </x:c>
      <x:c r="C114" s="19" t="str">
        <x:v>Meta Platforms Inc.</x:v>
      </x:c>
      <x:c r="D114" s="43" t="str">
        <x:v>Meta Reports Second Quarter 2026 Results</x:v>
      </x:c>
      <x:c r="E114" s="43" t="str">
        <x:v>earnings_release</x:v>
      </x:c>
      <x:c r="F114" s="43" t="str">
        <x:v>https://investor.atmeta.com/investor-news/press-release-details/2026/Meta-Reports-Second-Quarter-2026-Results/default.aspx</x:v>
      </x:c>
      <x:c r="G114" s="43" t="str">
        <x:v>meta;revenue_per_mw;capex</x:v>
      </x:c>
      <x:c r="H114" s="43" t="str">
        <x:v>primary_read</x:v>
      </x:c>
      <x:c r="I114" s="43" t="str">
        <x:v>Financial highlights capex cash flow and 2026 capex outlook</x:v>
      </x:c>
    </x:row>
    <x:row r="115">
      <x:c r="A115" s="19" t="str">
        <x:v>SRC-META-Q2FY26-CALL</x:v>
      </x:c>
      <x:c r="B115" s="45" t="d">
        <x:v>2026-07-29T00:00:00.000Z</x:v>
      </x:c>
      <x:c r="C115" s="19" t="str">
        <x:v>Meta Platforms Inc.</x:v>
      </x:c>
      <x:c r="D115" s="43" t="str">
        <x:v>Q2 2026 earnings call transcript</x:v>
      </x:c>
      <x:c r="E115" s="43" t="str">
        <x:v>issuer_earnings_call_transcript</x:v>
      </x:c>
      <x:c r="F115" s="43" t="str">
        <x:v>https://s21.q4cdn.com/399680738/files/doc_financials/2026/q2/META-Q2-2026-Earnings-Call-Transcript.pdf</x:v>
      </x:c>
      <x:c r="G115" s="43" t="str">
        <x:v>meta;revenue_per_mw;contract_economics;capex</x:v>
      </x:c>
      <x:c r="H115" s="43" t="str">
        <x:v>primary_read</x:v>
      </x:c>
      <x:c r="I115" s="43" t="str">
        <x:v>AI monetization claims capacity strategy capex and direct-compute Q&amp;A</x:v>
      </x:c>
    </x:row>
    <x:row r="116">
      <x:c r="A116" s="19" t="str">
        <x:v>SRC-META-Q2FY26-FOLLOWUP</x:v>
      </x:c>
      <x:c r="B116" s="45" t="d">
        <x:v>2026-07-29T00:00:00.000Z</x:v>
      </x:c>
      <x:c r="C116" s="19" t="str">
        <x:v>Meta Platforms Inc.</x:v>
      </x:c>
      <x:c r="D116" s="43" t="str">
        <x:v>Q2 2026 follow-up call transcript</x:v>
      </x:c>
      <x:c r="E116" s="43" t="str">
        <x:v>issuer_follow_up_call_transcript</x:v>
      </x:c>
      <x:c r="F116" s="43" t="str">
        <x:v>https://s21.q4cdn.com/399680738/files/doc_financials/2026/q2/META-Q2-2026-Follow-Up-Call-Transcript.pdf</x:v>
      </x:c>
      <x:c r="G116" s="43" t="str">
        <x:v>meta;revenue_per_mw;contract_economics;capex</x:v>
      </x:c>
      <x:c r="H116" s="43" t="str">
        <x:v>primary_read</x:v>
      </x:c>
      <x:c r="I116" s="43" t="str">
        <x:v>Capacity partnership financing third-party cloud and enterprise monetization</x:v>
      </x:c>
    </x:row>
    <x:row r="117">
      <x:c r="A117" s="19" t="str">
        <x:v>SRC-META-PUE-FY24</x:v>
      </x:c>
      <x:c r="B117" s="45" t="d">
        <x:v>2025-10-01T00:00:00.000Z</x:v>
      </x:c>
      <x:c r="C117" s="19" t="str">
        <x:v>Meta Platforms Inc.</x:v>
      </x:c>
      <x:c r="D117" s="43" t="str">
        <x:v>Meta 2025 Environmental Data Index</x:v>
      </x:c>
      <x:c r="E117" s="43" t="str">
        <x:v>environmental_data_index</x:v>
      </x:c>
      <x:c r="F117" s="43" t="str">
        <x:v>https://sustainability.atmeta.com/wp-content/uploads/2025/10/Meta_2025-Environmental-Data-Index.pdf</x:v>
      </x:c>
      <x:c r="G117" s="43" t="str">
        <x:v>meta;revenue_per_mw;effective_mw</x:v>
      </x:c>
      <x:c r="H117" s="43" t="str">
        <x:v>primary_read</x:v>
      </x:c>
      <x:c r="I117" s="43" t="str">
        <x:v>FY2024 annual fleet PUE 1.08; not a Q2 2026 AI-specific boundary</x:v>
      </x:c>
    </x:row>
    <x:row r="118">
      <x:c r="A118" s="19" t="str">
        <x:v>SRC-META-HYPERION-20251021</x:v>
      </x:c>
      <x:c r="B118" s="45" t="d">
        <x:v>2025-10-21T00:00:00.000Z</x:v>
      </x:c>
      <x:c r="C118" s="19" t="str">
        <x:v>Meta Platforms Inc.</x:v>
      </x:c>
      <x:c r="D118" s="43" t="str">
        <x:v>Meta Announces Joint Venture with Funds Managed by Blue Owl Capital to Develop Hyperion Data Center</x:v>
      </x:c>
      <x:c r="E118" s="43" t="str">
        <x:v>issuer_joint_venture_announcement</x:v>
      </x:c>
      <x:c r="F118" s="43" t="str">
        <x:v>https://investor.atmeta.com/investor-news/press-release-details/2025/Meta-Announces-Joint-Venture-with-Funds-Managed-by-Blue-Owl-Capital-to-Develop-Hyperion-Data-Center/default.aspx</x:v>
      </x:c>
      <x:c r="G118" s="43" t="str">
        <x:v>meta;contract_economics;capex</x:v>
      </x:c>
      <x:c r="H118" s="43" t="str">
        <x:v>primary_read</x:v>
      </x:c>
      <x:c r="I118" s="43" t="str">
        <x:v>Ownership development funding contribution distribution lease and residual-value guarantee</x:v>
      </x:c>
    </x:row>
    <x:row r="119">
      <x:c r="A119" s="19" t="str">
        <x:v>SRC-META-ELPASO-20260728</x:v>
      </x:c>
      <x:c r="B119" s="45" t="d">
        <x:v>2026-07-28T00:00:00.000Z</x:v>
      </x:c>
      <x:c r="C119" s="19" t="str">
        <x:v>Meta Platforms Inc. and BlackRock</x:v>
      </x:c>
      <x:c r="D119" s="43" t="str">
        <x:v>Meta Announces New Strategic Venture with BlackRock to Develop Data Center in El Paso</x:v>
      </x:c>
      <x:c r="E119" s="43" t="str">
        <x:v>issuer_joint_venture_announcement</x:v>
      </x:c>
      <x:c r="F119" s="43" t="str">
        <x:v>https://investor.atmeta.com/investor-news/press-release-details/2026/Meta-Announces-New-Strategic-Venture-with-BlackRock-to-Develop-Data-Center-in-El-Paso/default.aspx</x:v>
      </x:c>
      <x:c r="G119" s="43" t="str">
        <x:v>meta;revenue_per_mw;contract_economics;capex</x:v>
      </x:c>
      <x:c r="H119" s="43" t="str">
        <x:v>primary_read</x:v>
      </x:c>
      <x:c r="I119" s="43" t="str">
        <x:v>1 GW stated compute capacity expected 2028 with venture financing lease and residual-value guarantee</x:v>
      </x:c>
    </x:row>
    <x:row r="120">
      <x:c r="A120" s="19" t="str">
        <x:v>SRC-FT-COMPUTE-FUTURES-20261003</x:v>
      </x:c>
      <x:c r="B120" s="45" t="d">
        <x:v>2026-10-03T00:00:00.000Z</x:v>
      </x:c>
      <x:c r="C120" s="19" t="str">
        <x:v>Financial Times</x:v>
      </x:c>
      <x:c r="D120" s="43" t="str">
        <x:v>The coming futures market in AI compute</x:v>
      </x:c>
      <x:c r="E120" s="43" t="str">
        <x:v>commentary</x:v>
      </x:c>
      <x:c r="F120" s="43" t="str">
        <x:v>https://www.ft.com/content/a1815bc5-b5d5-47ff-bbbc-e1a689929321</x:v>
      </x:c>
      <x:c r="G120" s="43" t="str">
        <x:v>compute_futures;time_to_mw</x:v>
      </x:c>
      <x:c r="H120" s="43" t="str">
        <x:v>secondary_read</x:v>
      </x:c>
      <x:c r="I120" s="43" t="str">
        <x:v>Text retrieved through search; direct page unavailable. Commentary, not proof of a live market or project-default prediction.</x:v>
      </x:c>
    </x:row>
    <x:row r="121">
      <x:c r="A121" s="19" t="str">
        <x:v>SRC-CME-COMPUTE-SPECS-20261004</x:v>
      </x:c>
      <x:c r="B121" s="45"/>
      <x:c r="C121" s="19" t="str">
        <x:v>CME Group</x:v>
      </x:c>
      <x:c r="D121" s="43" t="str">
        <x:v>Compute futures product specifications</x:v>
      </x:c>
      <x:c r="E121" s="43" t="str">
        <x:v>exchange_product_page</x:v>
      </x:c>
      <x:c r="F121" s="43" t="str">
        <x:v>https://www.cmegroup.com/markets/energy/power/compute-futures.html</x:v>
      </x:c>
      <x:c r="G121" s="43" t="str">
        <x:v>compute_futures;contract_economics</x:v>
      </x:c>
      <x:c r="H121" s="43" t="str">
        <x:v>primary_read</x:v>
      </x:c>
      <x:c r="I121" s="43" t="str">
        <x:v>Undated live page observed October 4; planned H100/B200 non-hyperscaler rental benchmarks.</x:v>
      </x:c>
    </x:row>
    <x:row r="122">
      <x:c r="A122" s="19" t="str">
        <x:v>SRC-CME-COMPUTE-REVISED-20261004</x:v>
      </x:c>
      <x:c r="B122" s="45"/>
      <x:c r="C122" s="19" t="str">
        <x:v>CME Group</x:v>
      </x:c>
      <x:c r="D122" s="43" t="str">
        <x:v>Revised clearing advisory 26-274: effective date to be announced</x:v>
      </x:c>
      <x:c r="E122" s="43" t="str">
        <x:v>exchange_clearing_notice</x:v>
      </x:c>
      <x:c r="F122" s="43" t="str">
        <x:v>https://www.cmegroup.com/notices/clearing/2026/08/26-274.html</x:v>
      </x:c>
      <x:c r="G122" s="43" t="str">
        <x:v>compute_futures</x:v>
      </x:c>
      <x:c r="H122" s="43" t="str">
        <x:v>primary_read</x:v>
      </x:c>
      <x:c r="I122" s="43" t="str">
        <x:v>Exact revision publication date unavailable. Page title says effective date to be announced; full advisory attachment not exposed in retrieved page.</x:v>
      </x:c>
    </x:row>
    <x:row r="123">
      <x:c r="A123" s="19" t="str">
        <x:v>SRC-CME-COMPUTE-ANNOUNCE-20260811</x:v>
      </x:c>
      <x:c r="B123" s="45" t="d">
        <x:v>2026-08-11T00:00:00.000Z</x:v>
      </x:c>
      <x:c r="C123" s="19" t="str">
        <x:v>CME Group</x:v>
      </x:c>
      <x:c r="D123" s="43" t="str">
        <x:v>CME Group and Silicon Data to Launch Compute Futures on October 5</x:v>
      </x:c>
      <x:c r="E123" s="43" t="str">
        <x:v>exchange_press_release</x:v>
      </x:c>
      <x:c r="F123" s="43" t="str">
        <x:v>https://cmegroupinc.gcs-web.com/node/55686</x:v>
      </x:c>
      <x:c r="G123" s="43" t="str">
        <x:v>compute_futures</x:v>
      </x:c>
      <x:c r="H123" s="43" t="str">
        <x:v>primary_read</x:v>
      </x:c>
      <x:c r="I123" s="43" t="str">
        <x:v>Original target only; later revised notice prevents treating October 5 as a confirmed live-trading date.</x:v>
      </x:c>
    </x:row>
    <x:row r="124">
      <x:c r="A124" s="19" t="str">
        <x:v>SRC-MW-TIME-METHOD-20261002</x:v>
      </x:c>
      <x:c r="B124" s="45" t="d">
        <x:v>2026-10-02T00:00:00.000Z</x:v>
      </x:c>
      <x:c r="C124" s="19" t="str">
        <x:v>MW/$ research</x:v>
      </x:c>
      <x:c r="D124" s="43" t="str">
        <x:v>Project time and depreciation method and seeded dashboard</x:v>
      </x:c>
      <x:c r="E124" s="43" t="str">
        <x:v>internal_method</x:v>
      </x:c>
      <x:c r="F124" s="43" t="str">
        <x:v>https://github.com/smsyt4sjvc-crypto/MW-/blob/3172e3699ebbe47c46b8e8d8cdd734e849624342/ops/project-time-depreciation.md</x:v>
      </x:c>
      <x:c r="G124" s="43" t="str">
        <x:v>time_to_mw;economic_depreciation</x:v>
      </x:c>
      <x:c r="H124" s="43" t="str">
        <x:v>internal_model</x:v>
      </x:c>
      <x:c r="I124" s="43" t="str">
        <x:v>Reference scenarios and three-observation seed, not an industry estimate; underlying primary milestone sources remain in infrastructure source ledger.</x:v>
      </x:c>
    </x:row>
    <x:row r="125">
      <x:c r="A125" s="19" t="str">
        <x:v>SRC-NSCALE-S1-20260918</x:v>
      </x:c>
      <x:c r="B125" s="45" t="d">
        <x:v>2026-09-18T00:00:00.000Z</x:v>
      </x:c>
      <x:c r="C125" s="19" t="str">
        <x:v>Nscale / SEC</x:v>
      </x:c>
      <x:c r="D125" s="43" t="str">
        <x:v>Nscale S-1: annual FY2025 and interim H1 2026 financials</x:v>
      </x:c>
      <x:c r="E125" s="43" t="str">
        <x:v>S-1</x:v>
      </x:c>
      <x:c r="F125" s="43" t="str">
        <x:v>https://www.sec.gov/Archives/edgar/data/2110365/000119312526395475/ck0002110365-20260918.htm</x:v>
      </x:c>
      <x:c r="G125" s="43" t="str">
        <x:v>Nscale review 2026-10-05</x:v>
      </x:c>
      <x:c r="H125" s="43" t="str">
        <x:v>Primary read</x:v>
      </x:c>
      <x:c r="I125" s="43" t="str">
        <x:v>pp. 13,27,84-86,99-100,114-115,118-119; F-4,F-6,F-10,F-17-18,F-45,F-47,F-49-50,F-52-55,F-63-65</x:v>
      </x:c>
    </x:row>
    <x:row r="126">
      <x:c r="A126" s="19" t="str">
        <x:v>SRC-NSCALE-ANTHROPIC-EX1025</x:v>
      </x:c>
      <x:c r="B126" s="45" t="d">
        <x:v>2026-09-18T00:00:00.000Z</x:v>
      </x:c>
      <x:c r="C126" s="19" t="str">
        <x:v>Nscale / SEC</x:v>
      </x:c>
      <x:c r="D126" s="43" t="str">
        <x:v>Form of Anthropic GPU services order</x:v>
      </x:c>
      <x:c r="E126" s="43" t="str">
        <x:v>S-1 Exhibit 10.25</x:v>
      </x:c>
      <x:c r="F126" s="43" t="str">
        <x:v>https://www.sec.gov/Archives/edgar/data/2110365/000119312526395475/ck0002110365-ex10_25.htm</x:v>
      </x:c>
      <x:c r="G126" s="43" t="str">
        <x:v>Nscale review 2026-10-05</x:v>
      </x:c>
      <x:c r="H126" s="43" t="str">
        <x:v>Primary read</x:v>
      </x:c>
      <x:c r="I126" s="43" t="str">
        <x:v>Order sections 1(c),4-9; pricing and capacity tables; terms of service and redacted schedules</x:v>
      </x:c>
    </x:row>
    <x:row r="127">
      <x:c r="A127" s="19" t="str">
        <x:v>SRC-NSCALE-MSFT-EX1019</x:v>
      </x:c>
      <x:c r="B127" s="45" t="d">
        <x:v>2026-09-18T00:00:00.000Z</x:v>
      </x:c>
      <x:c r="C127" s="19" t="str">
        <x:v>Nscale / SEC</x:v>
      </x:c>
      <x:c r="D127" s="43" t="str">
        <x:v>Form of Microsoft partner statement of work</x:v>
      </x:c>
      <x:c r="E127" s="43" t="str">
        <x:v>S-1 Exhibit 10.19</x:v>
      </x:c>
      <x:c r="F127" s="43" t="str">
        <x:v>https://www.sec.gov/Archives/edgar/data/2110365/000119312526395475/ck0002110365-ex10_19.htm</x:v>
      </x:c>
      <x:c r="G127" s="43" t="str">
        <x:v>Nscale review 2026-10-05</x:v>
      </x:c>
      <x:c r="H127" s="43" t="str">
        <x:v>Primary read</x:v>
      </x:c>
      <x:c r="I127" s="43" t="str">
        <x:v>Sections 1.3,3.1-3.4,6.10: customer-supplied equipment, acceptance, delay credits and prepayment refund</x:v>
      </x:c>
    </x:row>
    <x:row r="128">
      <x:c r="A128" s="19" t="str">
        <x:v>SRC-NSCALE-DFS-EX1020</x:v>
      </x:c>
      <x:c r="B128" s="45" t="d">
        <x:v>2026-09-18T00:00:00.000Z</x:v>
      </x:c>
      <x:c r="C128" s="19" t="str">
        <x:v>Nscale / SEC</x:v>
      </x:c>
      <x:c r="D128" s="43" t="str">
        <x:v>Dell Financial Services global framework agreement</x:v>
      </x:c>
      <x:c r="E128" s="43" t="str">
        <x:v>S-1 Exhibit 10.20</x:v>
      </x:c>
      <x:c r="F128" s="43" t="str">
        <x:v>https://www.sec.gov/Archives/edgar/data/2110365/000119312526395475/ck0002110365-ex10_20.htm</x:v>
      </x:c>
      <x:c r="G128" s="43" t="str">
        <x:v>Nscale review 2026-10-05</x:v>
      </x:c>
      <x:c r="H128" s="43" t="str">
        <x:v>Primary read</x:v>
      </x:c>
      <x:c r="I128" s="43" t="str">
        <x:v>Sections 2-8: title, unconditional payments, return, loss and acceleration</x:v>
      </x:c>
    </x:row>
    <x:row r="129">
      <x:c r="A129" s="19" t="str">
        <x:v>SRC-NSCALE-WARD-EX1023</x:v>
      </x:c>
      <x:c r="B129" s="45" t="d">
        <x:v>2026-09-18T00:00:00.000Z</x:v>
      </x:c>
      <x:c r="C129" s="19" t="str">
        <x:v>Nscale / SEC</x:v>
      </x:c>
      <x:c r="D129" s="43" t="str">
        <x:v>Ward County SPV credit agreement</x:v>
      </x:c>
      <x:c r="E129" s="43" t="str">
        <x:v>S-1 Exhibit 10.23</x:v>
      </x:c>
      <x:c r="F129" s="43" t="str">
        <x:v>https://www.sec.gov/Archives/edgar/data/2110365/000119312526395475/ck0002110365-ex10_23.htm</x:v>
      </x:c>
      <x:c r="G129" s="43" t="str">
        <x:v>Nscale review 2026-10-05</x:v>
      </x:c>
      <x:c r="H129" s="43" t="str">
        <x:v>Primary read</x:v>
      </x:c>
      <x:c r="I129" s="43" t="str">
        <x:v>Section 1.01 Term Maturity Date; sections 2.20 cash waterfall and 4.02 credit-event conditions</x:v>
      </x:c>
    </x:row>
    <x:row r="130">
      <x:c r="A130" s="19" t="str">
        <x:v>SRC-NSCALE-NC-EX1024</x:v>
      </x:c>
      <x:c r="B130" s="45" t="d">
        <x:v>2026-09-18T00:00:00.000Z</x:v>
      </x:c>
      <x:c r="C130" s="19" t="str">
        <x:v>Nscale / SEC</x:v>
      </x:c>
      <x:c r="D130" s="43" t="str">
        <x:v>North Carolina SPV credit agreement</x:v>
      </x:c>
      <x:c r="E130" s="43" t="str">
        <x:v>S-1 Exhibit 10.24</x:v>
      </x:c>
      <x:c r="F130" s="43" t="str">
        <x:v>https://www.sec.gov/Archives/edgar/data/2110365/000119312526395475/ck0002110365-ex10_24.htm</x:v>
      </x:c>
      <x:c r="G130" s="43" t="str">
        <x:v>Nscale review 2026-10-05</x:v>
      </x:c>
      <x:c r="H130" s="43" t="str">
        <x:v>Primary read</x:v>
      </x:c>
      <x:c r="I130" s="43" t="str">
        <x:v>Section 1.01 Advance Rate and Term Maturity Date; sections 2.20 and 4.02</x:v>
      </x:c>
    </x:row>
    <x:row r="131">
      <x:c r="A131" s="19" t="str">
        <x:v>SRC-NSCALE-CONVERT-20260925</x:v>
      </x:c>
      <x:c r="B131" s="45" t="d">
        <x:v>2026-09-25T00:00:00.000Z</x:v>
      </x:c>
      <x:c r="C131" s="19" t="str">
        <x:v>Nscale</x:v>
      </x:c>
      <x:c r="D131" s="43" t="str">
        <x:v>Nscale raises $3.36B pre-IPO convertible financing</x:v>
      </x:c>
      <x:c r="E131" s="43" t="str">
        <x:v>issuer_release</x:v>
      </x:c>
      <x:c r="F131" s="43" t="str">
        <x:v>https://www.nscale.com/press-releases/pre-ipo-convertible-financing</x:v>
      </x:c>
      <x:c r="G131" s="43" t="str">
        <x:v>Nscale review 2026-10-05</x:v>
      </x:c>
      <x:c r="H131" s="43" t="str">
        <x:v>Primary read</x:v>
      </x:c>
      <x:c r="I131" s="43" t="str">
        <x:v>Opening paragraph and financing/tranche/conversion paragraph</x:v>
      </x:c>
    </x:row>
    <x:row r="132">
      <x:c r="A132" s="19" t="str">
        <x:v>SRC-NSCALE-DEPLOY-20261001</x:v>
      </x:c>
      <x:c r="B132" s="45" t="d">
        <x:v>2026-10-01T00:00:00.000Z</x:v>
      </x:c>
      <x:c r="C132" s="19" t="str">
        <x:v>Nscale</x:v>
      </x:c>
      <x:c r="D132" s="43" t="str">
        <x:v>Execution at scale: doubling deployments</x:v>
      </x:c>
      <x:c r="E132" s="43" t="str">
        <x:v>issuer_operational_update</x:v>
      </x:c>
      <x:c r="F132" s="43" t="str">
        <x:v>https://www.nscale.com/press-releases/execution-at-scale</x:v>
      </x:c>
      <x:c r="G132" s="43" t="str">
        <x:v>Nscale review 2026-10-05</x:v>
      </x:c>
      <x:c r="H132" s="43" t="str">
        <x:v>Primary read</x:v>
      </x:c>
      <x:c r="I132" s="43" t="str">
        <x:v>Opening two paragraphs: 24000 additional GPUs and over 50000 across six active sites</x:v>
      </x:c>
    </x:row>
    <x:row r="133">
      <x:c r="A133" s="19" t="str">
        <x:v>SRC-NSCALE-SITES-20261005</x:v>
      </x:c>
      <x:c r="B133" s="45"/>
      <x:c r="C133" s="19" t="str">
        <x:v>Nscale</x:v>
      </x:c>
      <x:c r="D133" s="43" t="str">
        <x:v>Nscale AI infrastructure site descriptions</x:v>
      </x:c>
      <x:c r="E133" s="43" t="str">
        <x:v>issuer_site_page</x:v>
      </x:c>
      <x:c r="F133" s="43" t="str">
        <x:v>https://www.nscale.com/ai-infrastructure</x:v>
      </x:c>
      <x:c r="G133" s="43" t="str">
        <x:v>Nscale review 2026-10-05</x:v>
      </x:c>
      <x:c r="H133" s="43" t="str">
        <x:v>Primary read</x:v>
      </x:c>
      <x:c r="I133" s="43" t="str">
        <x:v>Glomfjord; Monarch Compute Campus; Ward County; North Carolina</x:v>
      </x:c>
    </x:row>
    <x:row r="134">
      <x:c r="A134" s="19" t="str">
        <x:v>SRC-NSCALE-SEC-INDEX-20261005</x:v>
      </x:c>
      <x:c r="B134" s="45"/>
      <x:c r="C134" s="19" t="str">
        <x:v>Nscale / SEC</x:v>
      </x:c>
      <x:c r="D134" s="43" t="str">
        <x:v>Nscale SEC submissions index</x:v>
      </x:c>
      <x:c r="E134" s="43" t="str">
        <x:v>regulator_index</x:v>
      </x:c>
      <x:c r="F134" s="43" t="str">
        <x:v>https://data.sec.gov/submissions/CIK0002110365.json</x:v>
      </x:c>
      <x:c r="G134" s="43" t="str">
        <x:v>Nscale review 2026-10-05</x:v>
      </x:c>
      <x:c r="H134" s="43" t="str">
        <x:v>Primary read</x:v>
      </x:c>
      <x:c r="I134" s="43" t="str">
        <x:v>filings.recent: latest public S-1 September 18, 2026; prior DRS amendments</x:v>
      </x:c>
    </x:row>
    <x:row r="135">
      <x:c r="A135" s="19" t="str">
        <x:v>SRC-SPX-424B4-20260612</x:v>
      </x:c>
      <x:c r="B135" s="45" t="d">
        <x:v>2026-06-12T00:00:00.000Z</x:v>
      </x:c>
      <x:c r="C135" s="19" t="str">
        <x:v>Space Exploration Technologies Corp. / SEC</x:v>
      </x:c>
      <x:c r="D135" s="43" t="str">
        <x:v>Final prospectus with FY2025 audited financial statements</x:v>
      </x:c>
      <x:c r="E135" s="43" t="str">
        <x:v>424B4</x:v>
      </x:c>
      <x:c r="F135" s="43" t="str">
        <x:v>https://www.sec.gov/Archives/edgar/data/1181412/000162828026042639/spaceexplorationtechnologi.htm</x:v>
      </x:c>
      <x:c r="G135" s="43" t="str">
        <x:v>xAI / SpaceX review 2026-10-06</x:v>
      </x:c>
      <x:c r="H135" s="43" t="str">
        <x:v>Primary read</x:v>
      </x:c>
      <x:c r="I135" s="43" t="str">
        <x:v>pp. 90,124; F-5; F-63; Note 17 and subsequent-event deal disclosures</x:v>
      </x:c>
    </x:row>
    <x:row r="136">
      <x:c r="A136" s="19" t="str">
        <x:v>SRC-SPX-10Q-Q2FY26</x:v>
      </x:c>
      <x:c r="B136" s="45" t="d">
        <x:v>2026-08-04T00:00:00.000Z</x:v>
      </x:c>
      <x:c r="C136" s="19" t="str">
        <x:v>Space Exploration Technologies Corp. / SEC</x:v>
      </x:c>
      <x:c r="D136" s="43" t="str">
        <x:v>Q2 2026 Form 10-Q</x:v>
      </x:c>
      <x:c r="E136" s="43" t="str">
        <x:v>10-Q</x:v>
      </x:c>
      <x:c r="F136" s="43" t="str">
        <x:v>https://s21.q4cdn.com/184289198/files/doc_financials/2026/q2/dc41a8f3-2234-40ec-95e3-3867336ae181.pdf</x:v>
      </x:c>
      <x:c r="G136" s="43" t="str">
        <x:v>xAI / SpaceX review 2026-10-06</x:v>
      </x:c>
      <x:c r="H136" s="43" t="str">
        <x:v>Primary read</x:v>
      </x:c>
      <x:c r="I136" s="43" t="str">
        <x:v>pp. 12-14,17-21,27,29-31,36,38,44-45 and 51-52</x:v>
      </x:c>
    </x:row>
    <x:row r="137">
      <x:c r="A137" s="19" t="str">
        <x:v>SRC-SPX-Q2FY26-ER</x:v>
      </x:c>
      <x:c r="B137" s="45" t="d">
        <x:v>2026-08-04T00:00:00.000Z</x:v>
      </x:c>
      <x:c r="C137" s="19" t="str">
        <x:v>Space Exploration Technologies Corp.</x:v>
      </x:c>
      <x:c r="D137" s="43" t="str">
        <x:v>SpaceX reports second quarter 2026 results</x:v>
      </x:c>
      <x:c r="E137" s="43" t="str">
        <x:v>earnings_release</x:v>
      </x:c>
      <x:c r="F137" s="43" t="str">
        <x:v>https://s21.q4cdn.com/184289198/files/doc_financials/2026/q2/SpaceX-Reports-Second-Quarter-2026-Results.pdf</x:v>
      </x:c>
      <x:c r="G137" s="43" t="str">
        <x:v>xAI / SpaceX review 2026-10-06</x:v>
      </x:c>
      <x:c r="H137" s="43" t="str">
        <x:v>Primary read</x:v>
      </x:c>
      <x:c r="I137" s="43" t="str">
        <x:v>AI segment results nameplate compute capex cash debt and contracted-sales definition</x:v>
      </x:c>
    </x:row>
    <x:row r="138">
      <x:c r="A138" s="19" t="str">
        <x:v>SRC-SPX-Q2FY26-CALL</x:v>
      </x:c>
      <x:c r="B138" s="45" t="d">
        <x:v>2026-08-04T00:00:00.000Z</x:v>
      </x:c>
      <x:c r="C138" s="19" t="str">
        <x:v>Space Exploration Technologies Corp.</x:v>
      </x:c>
      <x:c r="D138" s="43" t="str">
        <x:v>Q2 2026 earnings call transcript</x:v>
      </x:c>
      <x:c r="E138" s="43" t="str">
        <x:v>earnings_call_transcript</x:v>
      </x:c>
      <x:c r="F138" s="43" t="str">
        <x:v>https://s21.q4cdn.com/184289198/files/doc_financials/2026/q2/SpaceX-Q2-2026-Earnings_Transcript-FINAL.pdf</x:v>
      </x:c>
      <x:c r="G138" s="43" t="str">
        <x:v>xAI / SpaceX review 2026-10-06</x:v>
      </x:c>
      <x:c r="H138" s="43" t="str">
        <x:v>Primary read</x:v>
      </x:c>
      <x:c r="I138" s="43" t="str">
        <x:v>pp. 5-6 and 9-10: cloud ramp nameplate capex financing payback and guidance</x:v>
      </x:c>
    </x:row>
    <x:row r="139">
      <x:c r="A139" s="19" t="str">
        <x:v>SRC-SPX-BOND-20260623</x:v>
      </x:c>
      <x:c r="B139" s="45" t="d">
        <x:v>2026-06-23T00:00:00.000Z</x:v>
      </x:c>
      <x:c r="C139" s="19" t="str">
        <x:v>Space Exploration Technologies Corp.</x:v>
      </x:c>
      <x:c r="D139" s="43" t="str">
        <x:v>SpaceX announces pricing of $25 billion inaugural bond issuance</x:v>
      </x:c>
      <x:c r="E139" s="43" t="str">
        <x:v>issuer_financing_release</x:v>
      </x:c>
      <x:c r="F139" s="43" t="str">
        <x:v>https://ir.spacex.com/updates/releases-details/2026/SpaceX-Announces-Pricing-of-25-Billion-Inaugural-Bond-Issuance-2026-33VwNgsx3O/default.aspx</x:v>
      </x:c>
      <x:c r="G139" s="43" t="str">
        <x:v>xAI / SpaceX review 2026-10-06</x:v>
      </x:c>
      <x:c r="H139" s="43" t="str">
        <x:v>Primary read</x:v>
      </x:c>
      <x:c r="I139" s="43" t="str">
        <x:v>Five tranches coupons and maturities</x:v>
      </x:c>
    </x:row>
    <x:row r="140">
      <x:c r="A140" s="19" t="str">
        <x:v>SRC-XAI-ANTHROPIC-20260506</x:v>
      </x:c>
      <x:c r="B140" s="45" t="d">
        <x:v>2026-05-06T00:00:00.000Z</x:v>
      </x:c>
      <x:c r="C140" s="19" t="str">
        <x:v>SpaceXAI</x:v>
      </x:c>
      <x:c r="D140" s="43" t="str">
        <x:v>New compute partnership with Anthropic</x:v>
      </x:c>
      <x:c r="E140" s="43" t="str">
        <x:v>issuer_customer_announcement</x:v>
      </x:c>
      <x:c r="F140" s="43" t="str">
        <x:v>https://x.ai/news/anthropic-compute-partnership</x:v>
      </x:c>
      <x:c r="G140" s="43" t="str">
        <x:v>xAI / SpaceX review 2026-10-06</x:v>
      </x:c>
      <x:c r="H140" s="43" t="str">
        <x:v>Primary read</x:v>
      </x:c>
      <x:c r="I140" s="43" t="str">
        <x:v>Colossus 1 access for training fine-tuning inference and HPC</x:v>
      </x:c>
    </x:row>
    <x:row r="141">
      <x:c r="A141" s="19" t="str">
        <x:v>SRC-XAI-MEMPHIS-20261006</x:v>
      </x:c>
      <x:c r="B141" s="45"/>
      <x:c r="C141" s="19" t="str">
        <x:v>SpaceXAI</x:v>
      </x:c>
      <x:c r="D141" s="43" t="str">
        <x:v>Memphis information center and fact-versus-fiction pages</x:v>
      </x:c>
      <x:c r="E141" s="43" t="str">
        <x:v>issuer_site_pages</x:v>
      </x:c>
      <x:c r="F141" s="43" t="str">
        <x:v>https://x.ai/memphis/info</x:v>
      </x:c>
      <x:c r="G141" s="43" t="str">
        <x:v>xAI / SpaceX review 2026-10-06</x:v>
      </x:c>
      <x:c r="H141" s="43" t="str">
        <x:v>Primary read</x:v>
      </x:c>
      <x:c r="I141" s="43" t="str">
        <x:v>No measured matched facility energy IT energy utilization or PUE</x:v>
      </x:c>
    </x:row>
    <x:row r="142">
      <x:c r="A142" s="19" t="str">
        <x:v>SRC-OPENAI-COMPUTE-INFRA-20260429</x:v>
      </x:c>
      <x:c r="B142" s="45" t="d">
        <x:v>2026-04-29T00:00:00.000Z</x:v>
      </x:c>
      <x:c r="C142" s="19" t="str">
        <x:v>OpenAI</x:v>
      </x:c>
      <x:c r="D142" s="43" t="str">
        <x:v>Building the compute infrastructure for the Intelligence Age</x:v>
      </x:c>
      <x:c r="E142" s="43" t="str">
        <x:v>issuer_infrastructure_update</x:v>
      </x:c>
      <x:c r="F142" s="43" t="str">
        <x:v>https://openai.com/index/building-the-compute-infrastructure-for-the-intelligence-age/</x:v>
      </x:c>
      <x:c r="G142" s="43" t="str">
        <x:v>OpenAI / Stargate review 2026-10-07</x:v>
      </x:c>
      <x:c r="H142" s="43" t="str">
        <x:v>Primary read</x:v>
      </x:c>
      <x:c r="I142" s="43" t="str">
        <x:v>10 GW commitment and recent additions; Abilene operations and cooling</x:v>
      </x:c>
    </x:row>
    <x:row r="143">
      <x:c r="A143" s="19" t="str">
        <x:v>SRC-CRUSOE-IMPACT-20260528</x:v>
      </x:c>
      <x:c r="B143" s="45" t="d">
        <x:v>2026-05-28T00:00:00.000Z</x:v>
      </x:c>
      <x:c r="C143" s="19" t="str">
        <x:v>Crusoe</x:v>
      </x:c>
      <x:c r="D143" s="43" t="str">
        <x:v>Crusoe's 2025 Impact Report</x:v>
      </x:c>
      <x:c r="E143" s="43" t="str">
        <x:v>developer_sustainability_report</x:v>
      </x:c>
      <x:c r="F143" s="43" t="str">
        <x:v>https://www.crusoe.ai/resources/blog/crusoes-2025-impact-report</x:v>
      </x:c>
      <x:c r="G143" s="43" t="str">
        <x:v>OpenAI / Stargate review 2026-10-07</x:v>
      </x:c>
      <x:c r="H143" s="43" t="str">
        <x:v>Primary read</x:v>
      </x:c>
      <x:c r="I143" s="43" t="str">
        <x:v>Abilene annualized design PUE 1.2-1.4; not measured operational PUE</x:v>
      </x:c>
    </x:row>
    <x:row r="144">
      <x:c r="A144" s="19" t="str">
        <x:v>SRC-CRUSOE-CAPACITY-20260609</x:v>
      </x:c>
      <x:c r="B144" s="45" t="d">
        <x:v>2026-06-09T00:00:00.000Z</x:v>
      </x:c>
      <x:c r="C144" s="19" t="str">
        <x:v>Crusoe</x:v>
      </x:c>
      <x:c r="D144" s="43" t="str">
        <x:v>Crusoe's contracted AI infrastructure capacity approaches 5 gigawatts</x:v>
      </x:c>
      <x:c r="E144" s="43" t="str">
        <x:v>developer_operational_update</x:v>
      </x:c>
      <x:c r="F144" s="43" t="str">
        <x:v>https://www.crusoe.ai/resources/newsroom/crusoes-contracted-ai-infrastructure-capacity-approaches-5-gigawatts-across-data-centers-and-cloud</x:v>
      </x:c>
      <x:c r="G144" s="43" t="str">
        <x:v>OpenAI / Stargate review 2026-10-07</x:v>
      </x:c>
      <x:c r="H144" s="43" t="str">
        <x:v>Primary read</x:v>
      </x:c>
      <x:c r="I144" s="43" t="str">
        <x:v>Abilene 1.2GW for Oracle; first two buildings operational and six under construction</x:v>
      </x:c>
    </x:row>
    <x:row r="145">
      <x:c r="A145" s="19" t="str">
        <x:v>SRC-OPENAI-FUNDING-20260227</x:v>
      </x:c>
      <x:c r="B145" s="45" t="d">
        <x:v>2026-02-27T00:00:00.000Z</x:v>
      </x:c>
      <x:c r="C145" s="19" t="str">
        <x:v>OpenAI</x:v>
      </x:c>
      <x:c r="D145" s="43" t="str">
        <x:v>Scaling AI for everyone</x:v>
      </x:c>
      <x:c r="E145" s="43" t="str">
        <x:v>issuer_financing_announcement</x:v>
      </x:c>
      <x:c r="F145" s="43" t="str">
        <x:v>https://openai.com/index/scaling-ai-for-everyone/</x:v>
      </x:c>
      <x:c r="G145" s="43" t="str">
        <x:v>OpenAI / Stargate review 2026-10-07</x:v>
      </x:c>
      <x:c r="H145" s="43" t="str">
        <x:v>Primary read</x:v>
      </x:c>
      <x:c r="I145" s="43" t="str">
        <x:v>$110B investment at $730B pre-money valuation</x:v>
      </x:c>
    </x:row>
    <x:row r="146">
      <x:c r="A146" s="19" t="str">
        <x:v>SRC-SBG-AR-FY26-20260727</x:v>
      </x:c>
      <x:c r="B146" s="45" t="d">
        <x:v>2026-07-27T00:00:00.000Z</x:v>
      </x:c>
      <x:c r="C146" s="19" t="str">
        <x:v>SoftBank Group Corp.</x:v>
      </x:c>
      <x:c r="D146" s="43" t="str">
        <x:v>Annual Report FY2026</x:v>
      </x:c>
      <x:c r="E146" s="43" t="str">
        <x:v>annual_report</x:v>
      </x:c>
      <x:c r="F146" s="43" t="str">
        <x:v>https://group.softbank/media/Project/sbg/sbg/pdf/ir/financials/annual_reports/annual-report_fy2026_en.pdf</x:v>
      </x:c>
      <x:c r="G146" s="43" t="str">
        <x:v>OpenAI / Stargate review 2026-10-07</x:v>
      </x:c>
      <x:c r="H146" s="43" t="str">
        <x:v>Primary read</x:v>
      </x:c>
      <x:c r="I146" s="43" t="str">
        <x:v>PDF pp.25,74,103: OpenAI investment bridge financing and Stargate exposure</x:v>
      </x:c>
    </x:row>
    <x:row r="147">
      <x:c r="A147" s="19" t="str">
        <x:v>SRC-SBG-Q1FY26-20260806</x:v>
      </x:c>
      <x:c r="B147" s="45" t="d">
        <x:v>2026-08-06T00:00:00.000Z</x:v>
      </x:c>
      <x:c r="C147" s="19" t="str">
        <x:v>SoftBank Group Corp.</x:v>
      </x:c>
      <x:c r="D147" s="43" t="str">
        <x:v>Consolidated Financial Report for the Three-Month Period Ended June 30 2026</x:v>
      </x:c>
      <x:c r="E147" s="43" t="str">
        <x:v>quarterly_financial_report</x:v>
      </x:c>
      <x:c r="F147" s="43" t="str">
        <x:v>https://group.softbank/media/Project/sbg/sbg/pdf/ir/financials/financial_reports/financial-report_q1fy2026_01_en.pdf</x:v>
      </x:c>
      <x:c r="G147" s="43" t="str">
        <x:v>OpenAI / Stargate review 2026-10-07</x:v>
      </x:c>
      <x:c r="H147" s="43" t="str">
        <x:v>Primary read</x:v>
      </x:c>
      <x:c r="I147" s="43" t="str">
        <x:v>PDF pp.69-70: tranche schedule bridge and mandatory-prepayment linkage</x:v>
      </x:c>
    </x:row>
    <x:row r="148">
      <x:c r="A148" s="19" t="str">
        <x:v>SRC-SBG-OPENAI-20261001</x:v>
      </x:c>
      <x:c r="B148" s="45" t="d">
        <x:v>2026-10-01T00:00:00.000Z</x:v>
      </x:c>
      <x:c r="C148" s="19" t="str">
        <x:v>SoftBank Group Corp.</x:v>
      </x:c>
      <x:c r="D148" s="43" t="str">
        <x:v>Third closing of additional investment in OpenAI</x:v>
      </x:c>
      <x:c r="E148" s="43" t="str">
        <x:v>issuer_financing_update</x:v>
      </x:c>
      <x:c r="F148" s="43" t="str">
        <x:v>https://group.softbank/en/news/press/20261001</x:v>
      </x:c>
      <x:c r="G148" s="43" t="str">
        <x:v>OpenAI / Stargate review 2026-10-07</x:v>
      </x:c>
      <x:c r="H148" s="43" t="str">
        <x:v>Primary read</x:v>
      </x:c>
      <x:c r="I148" s="43" t="str">
        <x:v>$64.6B cumulative investment; bridge repaid and cancelled</x:v>
      </x:c>
    </x:row>
    <x:row r="149">
      <x:c r="A149" s="19" t="str">
        <x:v>SRC-ORCL-10Q-Q1FY27</x:v>
      </x:c>
      <x:c r="B149" s="45" t="d">
        <x:v>2026-09-11T00:00:00.000Z</x:v>
      </x:c>
      <x:c r="C149" s="19" t="str">
        <x:v>Oracle Corporation / SEC</x:v>
      </x:c>
      <x:c r="D149" s="43" t="str">
        <x:v>Oracle Q1 FY2027 Form 10-Q</x:v>
      </x:c>
      <x:c r="E149" s="43" t="str">
        <x:v>10-Q</x:v>
      </x:c>
      <x:c r="F149" s="43" t="str">
        <x:v>https://www.sec.gov/Archives/edgar/data/1341439/000119312526389274/orcl-20260831.htm</x:v>
      </x:c>
      <x:c r="G149" s="43" t="str">
        <x:v>OpenAI / Stargate review 2026-10-07</x:v>
      </x:c>
      <x:c r="H149" s="43" t="str">
        <x:v>Primary read</x:v>
      </x:c>
      <x:c r="I149" s="43" t="str">
        <x:v>Commitments prepayments cash flows and RPO; consolidated not wholly Stargate</x:v>
      </x:c>
    </x:row>
    <x:row r="150">
      <x:c r="A150" s="19" t="str">
        <x:v>SRC-BLUEOWL-10Q-Q2FY26</x:v>
      </x:c>
      <x:c r="B150" s="45" t="d">
        <x:v>2026-07-31T00:00:00.000Z</x:v>
      </x:c>
      <x:c r="C150" s="19" t="str">
        <x:v>Blue Owl Capital Inc. / SEC</x:v>
      </x:c>
      <x:c r="D150" s="43" t="str">
        <x:v>Blue Owl Q2 2026 Form 10-Q</x:v>
      </x:c>
      <x:c r="E150" s="43" t="str">
        <x:v>10-Q</x:v>
      </x:c>
      <x:c r="F150" s="43" t="str">
        <x:v>https://www.sec.gov/Archives/edgar/data/1823945/000182394526000040/owl-20260630.htm</x:v>
      </x:c>
      <x:c r="G150" s="43" t="str">
        <x:v>OpenAI / Stargate review 2026-10-07</x:v>
      </x:c>
      <x:c r="H150" s="43" t="str">
        <x:v>Primary read</x:v>
      </x:c>
      <x:c r="I150" s="43" t="str">
        <x:v>No Abilene project-level economics identified</x:v>
      </x:c>
    </x:row>
    <x:row r="151">
      <x:c r="A151" s="19" t="str">
        <x:v>SRC-DAC-JUPITER-IRB</x:v>
      </x:c>
      <x:c r="B151" s="45"/>
      <x:c r="C151" s="19" t="str">
        <x:v>Dona Ana County New Mexico</x:v>
      </x:c>
      <x:c r="D151" s="43" t="str">
        <x:v>Project Jupiter IRB Series 2025A executed and recorded ordinance</x:v>
      </x:c>
      <x:c r="E151" s="43" t="str">
        <x:v>county_irb_ordinance</x:v>
      </x:c>
      <x:c r="F151" s="43" t="str">
        <x:v>https://cms2.revize.com/revize/donaanacounty/Documents/About%20Us/Economic%20Development%20Projects/IRB%20Series%202025A%20-%20Executed%20%26%20Recorded.pdf?t=202606101848290</x:v>
      </x:c>
      <x:c r="G151" s="43" t="str">
        <x:v>OpenAI / Stargate review 2026-10-07</x:v>
      </x:c>
      <x:c r="H151" s="43" t="str">
        <x:v>Primary read</x:v>
      </x:c>
      <x:c r="I151" s="43" t="str">
        <x:v>$165B authorization ceiling; not proof of funded cash</x:v>
      </x:c>
    </x:row>
    <x:row r="152">
      <x:c r="A152" s="19" t="str">
        <x:v>SRC-ORCL-JUPITER-20260728</x:v>
      </x:c>
      <x:c r="B152" s="45" t="d">
        <x:v>2026-07-28T00:00:00.000Z</x:v>
      </x:c>
      <x:c r="C152" s="19" t="str">
        <x:v>Oracle Corporation</x:v>
      </x:c>
      <x:c r="D152" s="43" t="str">
        <x:v>Project Jupiter brings AI infrastructure investment to New Mexico</x:v>
      </x:c>
      <x:c r="E152" s="43" t="str">
        <x:v>issuer_project_announcement</x:v>
      </x:c>
      <x:c r="F152" s="43" t="str">
        <x:v>https://www.oracle.com/news/announcement/project-jupiter-2026-07-28/</x:v>
      </x:c>
      <x:c r="G152" s="43" t="str">
        <x:v>OpenAI / Stargate review 2026-10-07</x:v>
      </x:c>
      <x:c r="H152" s="43" t="str">
        <x:v>Primary read</x:v>
      </x:c>
      <x:c r="I152" s="43" t="str">
        <x:v>Project projections conditional on air permit and pipeline approval</x:v>
      </x:c>
    </x:row>
    <x:row r="153">
      <x:c r="A153" s="19" t="str">
        <x:v>SRC-NMED-JUPITER-20261007</x:v>
      </x:c>
      <x:c r="B153" s="45" t="d">
        <x:v>2026-10-07T00:00:00.000Z</x:v>
      </x:c>
      <x:c r="C153" s="19" t="str">
        <x:v>New Mexico Environment Department</x:v>
      </x:c>
      <x:c r="D153" s="43" t="str">
        <x:v>Project Jupiter YGI Microgrid air-permit public notice status</x:v>
      </x:c>
      <x:c r="E153" s="43" t="str">
        <x:v>regulator_status_notice</x:v>
      </x:c>
      <x:c r="F153" s="43" t="str">
        <x:v>https://www.env.nm.gov/</x:v>
      </x:c>
      <x:c r="G153" s="43" t="str">
        <x:v>OpenAI / Stargate review 2026-10-07</x:v>
      </x:c>
      <x:c r="H153" s="43" t="str">
        <x:v>Primary read</x:v>
      </x:c>
      <x:c r="I153" s="43" t="str">
        <x:v>Public-comment item marked stayed by New Mexico Supreme Court</x:v>
      </x:c>
    </x:row>
    <x:row r="154">
      <x:c r="A154" s="19" t="str">
        <x:v>SRC-NMED-JUPITER-DOCKET-20261007</x:v>
      </x:c>
      <x:c r="B154" s="45" t="d">
        <x:v>2026-10-07T00:00:00.000Z</x:v>
      </x:c>
      <x:c r="C154" s="19" t="str">
        <x:v>New Mexico Environment Department</x:v>
      </x:c>
      <x:c r="D154" s="43" t="str">
        <x:v>Yucca Growth Infrastructure LLC microgrid permit docket</x:v>
      </x:c>
      <x:c r="E154" s="43" t="str">
        <x:v>regulator_permit_docket</x:v>
      </x:c>
      <x:c r="F154" s="43" t="str">
        <x:v>https://www.env.nm.gov/public-notices/yucca-growth-infrastructure-llc-ygi-microgrid/</x:v>
      </x:c>
      <x:c r="G154" s="43" t="str">
        <x:v>OpenAI / Stargate review 2026-10-07</x:v>
      </x:c>
      <x:c r="H154" s="43" t="str">
        <x:v>Primary read</x:v>
      </x:c>
      <x:c r="I154" s="43" t="str">
        <x:v>Application revisions draft permit and hearing notices</x:v>
      </x:c>
    </x:row>
    <x:row r="155">
      <x:c r="A155" s="19" t="str">
        <x:v>SRC-FT-JUPITER-20260924</x:v>
      </x:c>
      <x:c r="B155" s="45" t="d">
        <x:v>2026-09-24T00:00:00.000Z</x:v>
      </x:c>
      <x:c r="C155" s="19" t="str">
        <x:v>Financial Times Alphaville</x:v>
      </x:c>
      <x:c r="D155" s="43" t="str">
        <x:v>Oracle's New Mexico data-centre financing comes under pressure</x:v>
      </x:c>
      <x:c r="E155" s="43" t="str">
        <x:v>secondary_financing_report</x:v>
      </x:c>
      <x:c r="F155" s="43" t="str">
        <x:v>https://www.ft.com/content/82dbd39c-f8dd-4ef1-8a80-d430a22579bd</x:v>
      </x:c>
      <x:c r="G155" s="43" t="str">
        <x:v>OpenAI / Stargate review 2026-10-07</x:v>
      </x:c>
      <x:c r="H155" s="43" t="str">
        <x:v>Secondary read</x:v>
      </x:c>
      <x:c r="I155" s="43" t="str">
        <x:v>Approx. $18B loans reported at 89-91; not independently verified</x:v>
      </x:c>
    </x:row>
    <x:row r="156">
      <x:c r="A156" s="19" t="str">
        <x:v>SRC-NVDA-10K-FY26</x:v>
      </x:c>
      <x:c r="B156" s="45" t="d">
        <x:v>2026-02-25T00:00:00.000Z</x:v>
      </x:c>
      <x:c r="C156" s="19" t="str">
        <x:v>NVIDIA / SEC</x:v>
      </x:c>
      <x:c r="D156" s="43" t="str">
        <x:v>FY2026 Form 10-K</x:v>
      </x:c>
      <x:c r="E156" s="43" t="str">
        <x:v>10-K</x:v>
      </x:c>
      <x:c r="F156" s="43" t="str">
        <x:v>https://www.sec.gov/Archives/edgar/data/1045810/000104581026000021/nvda-20260125.htm</x:v>
      </x:c>
      <x:c r="G156" s="43" t="str">
        <x:v>NVIDIA supplier economics and financing</x:v>
      </x:c>
      <x:c r="H156" s="43" t="str">
        <x:v>Primary read</x:v>
      </x:c>
      <x:c r="I156" s="43" t="str">
        <x:v>Note 10 p69 facility guarantees; Note 12 p70 commitments; Item 8 financial statements</x:v>
      </x:c>
    </x:row>
    <x:row r="157">
      <x:c r="A157" s="19" t="str">
        <x:v>SRC-NVDA-10Q-Q2FY27</x:v>
      </x:c>
      <x:c r="B157" s="45" t="d">
        <x:v>2026-08-26T00:00:00.000Z</x:v>
      </x:c>
      <x:c r="C157" s="19" t="str">
        <x:v>NVIDIA / SEC</x:v>
      </x:c>
      <x:c r="D157" s="43" t="str">
        <x:v>Q2 FY2027 Form 10-Q</x:v>
      </x:c>
      <x:c r="E157" s="43" t="str">
        <x:v>10-Q</x:v>
      </x:c>
      <x:c r="F157" s="43" t="str">
        <x:v>https://www.sec.gov/Archives/edgar/data/1045810/000104581026000075/nvda-20260726.htm</x:v>
      </x:c>
      <x:c r="G157" s="43" t="str">
        <x:v>NVIDIA supplier economics and financing</x:v>
      </x:c>
      <x:c r="H157" s="43" t="str">
        <x:v>Primary read</x:v>
      </x:c>
      <x:c r="I157" s="43" t="str">
        <x:v>Notes 6-10 pp13-19; MD&amp;A pp25-27; Item 6 p42</x:v>
      </x:c>
    </x:row>
    <x:row r="158">
      <x:c r="A158" s="19" t="str">
        <x:v>SRC-NVDA-CFO-Q2FY27</x:v>
      </x:c>
      <x:c r="B158" s="45" t="d">
        <x:v>2026-08-26T00:00:00.000Z</x:v>
      </x:c>
      <x:c r="C158" s="19" t="str">
        <x:v>NVIDIA / SEC</x:v>
      </x:c>
      <x:c r="D158" s="43" t="str">
        <x:v>Q2 FY2027 CFO commentary</x:v>
      </x:c>
      <x:c r="E158" s="43" t="str">
        <x:v>8-K exhibit</x:v>
      </x:c>
      <x:c r="F158" s="43" t="str">
        <x:v>https://www.sec.gov/Archives/edgar/data/1045810/000104581026000073/q2fy27cfocommentary.htm</x:v>
      </x:c>
      <x:c r="G158" s="43" t="str">
        <x:v>NVIDIA supplier economics and financing</x:v>
      </x:c>
      <x:c r="H158" s="43" t="str">
        <x:v>Primary read</x:v>
      </x:c>
      <x:c r="I158" s="43" t="str">
        <x:v>Revenue by Market Platform; Commitments; Additional Commitments; Guarantees; Balance Sheet and Cash Flow</x:v>
      </x:c>
    </x:row>
    <x:row r="159">
      <x:c r="A159" s="19" t="str">
        <x:v>SRC-NVDA-PORTS-20260817</x:v>
      </x:c>
      <x:c r="B159" s="45" t="d">
        <x:v>2026-08-17T00:00:00.000Z</x:v>
      </x:c>
      <x:c r="C159" s="19" t="str">
        <x:v>NVIDIA</x:v>
      </x:c>
      <x:c r="D159" s="43" t="str">
        <x:v>PORTS-Pike credit support announcement</x:v>
      </x:c>
      <x:c r="E159" s="43" t="str">
        <x:v>issuer_release</x:v>
      </x:c>
      <x:c r="F159" s="43" t="str">
        <x:v>https://investor.nvidia.com/news/press-release-details/2026/NVIDIA-Guarantees-SB-Energys-PORTS-Pike-Technology-Campus-in-Ohio-to-Exclusively-Host-NVIDIA-AI-Compute/default.aspx</x:v>
      </x:c>
      <x:c r="G159" s="43" t="str">
        <x:v>NVIDIA supplier economics and financing</x:v>
      </x:c>
      <x:c r="H159" s="43" t="str">
        <x:v>Primary read</x:v>
      </x:c>
      <x:c r="I159" s="43" t="str">
        <x:v>News Summary and opening paragraphs; initial 4.25 IT-GW and optional 3.75 IT-GW</x:v>
      </x:c>
    </x:row>
    <x:row r="160">
      <x:c r="A160" s="19" t="str">
        <x:v>SRC-NVDA-FINANCE-MOU-20260810</x:v>
      </x:c>
      <x:c r="B160" s="45" t="d">
        <x:v>2026-08-10T00:00:00.000Z</x:v>
      </x:c>
      <x:c r="C160" s="19" t="str">
        <x:v>Blackstone / NVIDIA</x:v>
      </x:c>
      <x:c r="D160" s="43" t="str">
        <x:v>Independent AI compute financing platform MOUs</x:v>
      </x:c>
      <x:c r="E160" s="43" t="str">
        <x:v>counterparty_release</x:v>
      </x:c>
      <x:c r="F160" s="43" t="str">
        <x:v>https://www.blackstone.com/news/press/nvidia-partners-with-apollo-blackrock-blackstone-brookfield-goldman-sachs-and-kkr-to-establish-ai-compute-infrastructure-financing-platforms-to-mobilize-over-500-billion-of-third-party-capital/</x:v>
      </x:c>
      <x:c r="G160" s="43" t="str">
        <x:v>NVIDIA supplier economics and financing</x:v>
      </x:c>
      <x:c r="H160" s="43" t="str">
        <x:v>Primary read</x:v>
      </x:c>
      <x:c r="I160" s="43" t="str">
        <x:v>Opening three paragraphs; Forward-Looking Statements</x:v>
      </x:c>
    </x:row>
    <x:row r="161">
      <x:c r="A161" s="19" t="str">
        <x:v>SRC-NVDA-NOTES-20260618</x:v>
      </x:c>
      <x:c r="B161" s="45" t="d">
        <x:v>2026-06-18T00:00:00.000Z</x:v>
      </x:c>
      <x:c r="C161" s="19" t="str">
        <x:v>NVIDIA / SEC</x:v>
      </x:c>
      <x:c r="D161" s="43" t="str">
        <x:v>Officers certificate and seven note forms</x:v>
      </x:c>
      <x:c r="E161" s="43" t="str">
        <x:v>8-K exhibit 4.2</x:v>
      </x:c>
      <x:c r="F161" s="43" t="str">
        <x:v>https://www.sec.gov/Archives/edgar/data/1045810/000119312526275783/d48176dex42.htm</x:v>
      </x:c>
      <x:c r="G161" s="43" t="str">
        <x:v>NVIDIA supplier economics and financing</x:v>
      </x:c>
      <x:c r="H161" s="43" t="str">
        <x:v>Primary read</x:v>
      </x:c>
      <x:c r="I161" s="43" t="str">
        <x:v>Sections establishing each series: Initial Aggregate Principal Amount, Maturity, Rate of Interest; Annexes A-G</x:v>
      </x:c>
    </x:row>
    <x:row r="162">
      <x:c r="A162" s="19" t="str">
        <x:v>SRC-NVDA-EARNINGS-Q2FY27</x:v>
      </x:c>
      <x:c r="B162" s="45" t="d">
        <x:v>2026-08-26T00:00:00.000Z</x:v>
      </x:c>
      <x:c r="C162" s="19" t="str">
        <x:v>NVIDIA</x:v>
      </x:c>
      <x:c r="D162" s="43" t="str">
        <x:v>Q2 FY2027 financial results</x:v>
      </x:c>
      <x:c r="E162" s="43" t="str">
        <x:v>earnings_release</x:v>
      </x:c>
      <x:c r="F162" s="43" t="str">
        <x:v>https://investor.nvidia.com/news/press-release-details/2026/NVIDIA-Announces-Financial-Results-for-Second-Quarter-Fiscal-2027/default.aspx</x:v>
      </x:c>
      <x:c r="G162" s="43" t="str">
        <x:v>NVIDIA supplier economics and financing</x:v>
      </x:c>
      <x:c r="H162" s="43" t="str">
        <x:v>Primary read</x:v>
      </x:c>
      <x:c r="I162" s="43" t="str">
        <x:v>Opening results; Q2 summary; cash-flow statement</x:v>
      </x:c>
    </x:row>
    <x:row r="163">
      <x:c r="A163" s="19" t="str">
        <x:v>SRC-NVDA-EARNINGS-FY26</x:v>
      </x:c>
      <x:c r="B163" s="45" t="d">
        <x:v>2026-02-25T00:00:00.000Z</x:v>
      </x:c>
      <x:c r="C163" s="19" t="str">
        <x:v>NVIDIA</x:v>
      </x:c>
      <x:c r="D163" s="43" t="str">
        <x:v>Q4 and FY2026 financial results</x:v>
      </x:c>
      <x:c r="E163" s="43" t="str">
        <x:v>earnings_release</x:v>
      </x:c>
      <x:c r="F163" s="43" t="str">
        <x:v>https://investor.nvidia.com/news/press-release-details/2026/NVIDIA-Announces-Financial-Results-for-Fourth-Quarter-and-Fiscal-2026/</x:v>
      </x:c>
      <x:c r="G163" s="43" t="str">
        <x:v>NVIDIA supplier economics and financing</x:v>
      </x:c>
      <x:c r="H163" s="43" t="str">
        <x:v>Primary read</x:v>
      </x:c>
      <x:c r="I163" s="43" t="str">
        <x:v>Fiscal 2026 Summary; Data Center highlights</x:v>
      </x:c>
    </x:row>
    <x:row r="164">
      <x:c r="A164" s="20" t="str">
        <x:v>SRC-IREN-DELL-EX991-20260526</x:v>
      </x:c>
      <x:c r="B164" s="46" t="d">
        <x:v>2026-05-26T00:00:00.000Z</x:v>
      </x:c>
      <x:c r="C164" s="20" t="str">
        <x:v>IREN / SEC</x:v>
      </x:c>
      <x:c r="D164" s="44" t="str">
        <x:v>Dell Blackwell deployment at Childress</x:v>
      </x:c>
      <x:c r="E164" s="44" t="str">
        <x:v>8-K exhibit 99.1</x:v>
      </x:c>
      <x:c r="F164" s="44" t="str">
        <x:v>https://www.sec.gov/Archives/edgar/data/1878848/000187884826000030/irentrgts44bninarrwithbl.htm</x:v>
      </x:c>
      <x:c r="G164" s="44" t="str">
        <x:v>NVIDIA supplier economics and financing</x:v>
      </x:c>
      <x:c r="H164" s="44" t="str">
        <x:v>Primary read</x:v>
      </x:c>
      <x:c r="I164" s="44" t="str">
        <x:v>Ex99.1 pp1-2; related 8-K Item1.01: IREN parent guarantees subsidiary Dell obligations</x:v>
      </x:c>
    </x:row>
  </x:sheetData>
  <x:pageMargins left="0.7" right="0.7" top="0.75" bottom="0.75" header="0.3" footer="0.3"/>
  <x:tableParts count="1">
    <x:tablePart xmlns:r="http://schemas.openxmlformats.org/officeDocument/2006/relationships" r:id="R070ca4829cd643e8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