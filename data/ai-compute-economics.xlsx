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7929dc279349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bb738fd055e4ec1"/>
    <x:sheet xmlns:r="http://schemas.openxmlformats.org/officeDocument/2006/relationships" name="Company Models" sheetId="2" r:id="R91662472ea794b65"/>
    <x:sheet xmlns:r="http://schemas.openxmlformats.org/officeDocument/2006/relationships" name="Methods" sheetId="3" r:id="R7e0ae63a5d3e43cd"/>
    <x:sheet xmlns:r="http://schemas.openxmlformats.org/officeDocument/2006/relationships" name="Token Economics" sheetId="4" r:id="R547c56ca4fe148da"/>
    <x:sheet xmlns:r="http://schemas.openxmlformats.org/officeDocument/2006/relationships" name="Benchmarks" sheetId="5" r:id="Raccee738f57f45e4"/>
    <x:sheet xmlns:r="http://schemas.openxmlformats.org/officeDocument/2006/relationships" name="Sources" sheetId="6" r:id="R1329e384db754b40"/>
    <x:sheet xmlns:r="http://schemas.openxmlformats.org/officeDocument/2006/relationships" name="Read Me" sheetId="7" r:id="Rc845151a41b248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23b82c498940b7" /><Relationship Type="http://schemas.openxmlformats.org/officeDocument/2006/relationships/theme" Target="/xl/theme/theme1.xml" Id="Red1058f7cf4a4e55" /><Relationship Type="http://schemas.openxmlformats.org/officeDocument/2006/relationships/sharedStrings" Target="/xl/sharedStrings.xml" Id="Rb9dce5b644f44393" /><Relationship Type="http://schemas.openxmlformats.org/officeDocument/2006/relationships/worksheet" Target="/xl/worksheets/sheet1.xml" Id="R2bb738fd055e4ec1" /><Relationship Type="http://schemas.openxmlformats.org/officeDocument/2006/relationships/worksheet" Target="/xl/worksheets/sheet2.xml" Id="R91662472ea794b65" /><Relationship Type="http://schemas.openxmlformats.org/officeDocument/2006/relationships/worksheet" Target="/xl/worksheets/sheet3.xml" Id="R7e0ae63a5d3e43cd" /><Relationship Type="http://schemas.openxmlformats.org/officeDocument/2006/relationships/worksheet" Target="/xl/worksheets/sheet4.xml" Id="R547c56ca4fe148da" /><Relationship Type="http://schemas.openxmlformats.org/officeDocument/2006/relationships/worksheet" Target="/xl/worksheets/sheet5.xml" Id="Raccee738f57f45e4" /><Relationship Type="http://schemas.openxmlformats.org/officeDocument/2006/relationships/worksheet" Target="/xl/worksheets/sheet6.xml" Id="R1329e384db754b40" /><Relationship Type="http://schemas.openxmlformats.org/officeDocument/2006/relationships/worksheet" Target="/xl/worksheets/sheet7.xml" Id="Rc845151a41b24813" /></Relationships>
</file>

<file path=xl/tables/table1.xml><?xml version="1.0" encoding="utf-8"?>
<x:table xmlns:x="http://schemas.openxmlformats.org/spreadsheetml/2006/main" id="1" name="CompanyMethodsTable" displayName="CompanyMethodsTable" ref="A4:G17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3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ba8100367fc4a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8afe7c2c5504b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ceb780fedb44566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13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Models'!S5:S17)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IFERROR(INDEX(Methods!$C$5:$C$17,MATCH(B13,Methods!$A$5:$A$17,0)),"")</x:f>
        <x:v>Hyperscaler</x:v>
      </x:c>
      <x:c r="D13" s="19" t="str">
        <x:f>'Company Models'!N5</x:f>
        <x:v>OPEN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IFERROR(INDEX(Methods!$C$5:$C$17,MATCH(B14,Methods!$A$5:$A$17,0)),"")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IFERROR(INDEX(Methods!$C$5:$C$17,MATCH(B15,Methods!$A$5:$A$17,0)),"")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IFERROR(INDEX(Methods!$C$5:$C$17,MATCH(B16,Methods!$A$5:$A$17,0)),"")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IFERROR(INDEX(Methods!$C$5:$C$17,MATCH(B17,Methods!$A$5:$A$17,0)),"")</x:f>
        <x:v>Hyperscaler</x:v>
      </x:c>
      <x:c r="D17" s="19" t="str">
        <x:f>'Company Models'!N9</x:f>
        <x:v>OPEN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IFERROR(INDEX(Methods!$C$5:$C$17,MATCH(B18,Methods!$A$5:$A$17,0)),"")</x:f>
        <x:v>Neocloud</x:v>
      </x:c>
      <x:c r="D18" s="19" t="str">
        <x:f>'Company Models'!N10</x:f>
        <x:v>OPEN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IFERROR(INDEX(Methods!$C$5:$C$17,MATCH(B19,Methods!$A$5:$A$17,0)),"")</x:f>
        <x:v>Neocloud</x:v>
      </x:c>
      <x:c r="D19" s="19" t="str">
        <x:f>'Company Models'!N11</x:f>
        <x:v>OPEN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IFERROR(INDEX(Methods!$C$5:$C$17,MATCH(B20,Methods!$A$5:$A$17,0)),"")</x:f>
        <x:v>Neocloud</x:v>
      </x:c>
      <x:c r="D20" s="19" t="str">
        <x:f>'Company Models'!N12</x:f>
        <x:v>OPEN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IFERROR(INDEX(Methods!$C$5:$C$17,MATCH(B21,Methods!$A$5:$A$17,0)),"")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IFERROR(INDEX(Methods!$C$5:$C$17,MATCH(B22,Methods!$A$5:$A$17,0)),"")</x:f>
        <x:v>Reference operator</x:v>
      </x:c>
      <x:c r="D22" s="19" t="str">
        <x:f>'Company Models'!N14</x:f>
        <x:v>CAPEX ONLY</x:v>
      </x:c>
      <x:c r="E22" s="58" t="str">
        <x:f>IF('Company Models'!S14="","",'Company Models'!S14)</x:f>
      </x:c>
      <x:c r="F22" s="19" t="str">
        <x:f>'Company Models'!T14</x:f>
        <x:v>Not an operator output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IFERROR(INDEX(Methods!$C$5:$C$17,MATCH(B23,Methods!$A$5:$A$17,0)),"")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IFERROR(INDEX(Methods!$C$5:$C$17,MATCH(B24,Methods!$A$5:$A$17,0)),"")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20" t="str">
        <x:f>'Company Models'!A17</x:f>
        <x:v>Broadcom</x:v>
      </x:c>
      <x:c r="B25" s="20" t="str">
        <x:f>'Company Models'!B17</x:f>
        <x:v>VENDOR-AVGO</x:v>
      </x:c>
      <x:c r="C25" s="20" t="str">
        <x:f>IFERROR(INDEX(Methods!$C$5:$C$17,MATCH(B25,Methods!$A$5:$A$17,0)),"")</x:f>
        <x:v>Silicon vendor</x:v>
      </x:c>
      <x:c r="D25" s="20" t="str">
        <x:f>'Company Models'!N17</x:f>
        <x:v>VENDOR ONLY</x:v>
      </x:c>
      <x:c r="E25" s="59" t="str">
        <x:f>IF('Company Models'!S17="","",'Company Models'!S17)</x:f>
      </x:c>
      <x:c r="F25" s="20" t="str">
        <x:f>'Company Models'!T17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18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Open</x:v>
      </x:c>
      <x:c r="D5" s="27"/>
      <x:c r="E5" s="29"/>
      <x:c r="F5" s="31"/>
      <x:c r="G5" s="33"/>
      <x:c r="H5" s="23"/>
      <x:c r="I5" s="35"/>
      <x:c r="J5" s="35"/>
      <x:c r="K5" s="35"/>
      <x:c r="L5" s="35"/>
      <x:c r="M5" s="19" t="str">
        <x:v>SRC-CHAT-001</x:v>
      </x:c>
      <x:c r="N5" s="19" t="str">
        <x:v>OPEN</x:v>
      </x:c>
      <x:c r="O5" s="43" t="str">
        <x:v>Needs matching AI revenue attribution and average AI IT MW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Open</x:v>
      </x:c>
      <x:c r="D9" s="27"/>
      <x:c r="E9" s="29"/>
      <x:c r="F9" s="31"/>
      <x:c r="G9" s="33"/>
      <x:c r="H9" s="23"/>
      <x:c r="I9" s="35"/>
      <x:c r="J9" s="35"/>
      <x:c r="K9" s="35"/>
      <x:c r="L9" s="35"/>
      <x:c r="M9" s="19" t="str">
        <x:v>SRC-CHAT-001</x:v>
      </x:c>
      <x:c r="N9" s="19" t="str">
        <x:v>OPEN</x:v>
      </x:c>
      <x:c r="O9" s="43" t="str">
        <x:v>Needs OCI compute revenue and average active MW; RPO alone prohibited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Open</x:v>
      </x:c>
      <x:c r="D10" s="27"/>
      <x:c r="E10" s="29"/>
      <x:c r="F10" s="31"/>
      <x:c r="G10" s="33"/>
      <x:c r="H10" s="23"/>
      <x:c r="I10" s="35"/>
      <x:c r="J10" s="35"/>
      <x:c r="K10" s="35"/>
      <x:c r="L10" s="35"/>
      <x:c r="M10" s="19" t="str">
        <x:v>SRC-WB-CRWV-001</x:v>
      </x:c>
      <x:c r="N10" s="19" t="str">
        <x:v>OPEN</x:v>
      </x:c>
      <x:c r="O10" s="43" t="str">
        <x:v>Reconstruct period-average active MW and compute-only revenue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Open</x:v>
      </x:c>
      <x:c r="D11" s="27"/>
      <x:c r="E11" s="29"/>
      <x:c r="F11" s="31"/>
      <x:c r="G11" s="33"/>
      <x:c r="H11" s="23"/>
      <x:c r="I11" s="35"/>
      <x:c r="J11" s="35"/>
      <x:c r="K11" s="35"/>
      <x:c r="L11" s="35"/>
      <x:c r="M11" s="19" t="str">
        <x:v>SRC-CHAT-001</x:v>
      </x:c>
      <x:c r="N11" s="19" t="str">
        <x:v>OPEN</x:v>
      </x:c>
      <x:c r="O11" s="43" t="str">
        <x:v>Needs active connected MW on matching revenue period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Open</x:v>
      </x:c>
      <x:c r="D12" s="27"/>
      <x:c r="E12" s="29"/>
      <x:c r="F12" s="31"/>
      <x:c r="G12" s="33"/>
      <x:c r="H12" s="23"/>
      <x:c r="I12" s="35"/>
      <x:c r="J12" s="35"/>
      <x:c r="K12" s="35"/>
      <x:c r="L12" s="35"/>
      <x:c r="M12" s="19" t="str">
        <x:v>SRC-CHAT-001</x:v>
      </x:c>
      <x:c r="N12" s="19" t="str">
        <x:v>OPEN</x:v>
      </x:c>
      <x:c r="O12" s="43" t="str">
        <x:v>Exclude mining revenue and mining MW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CAPEX ONLY</x:v>
      </x:c>
      <x:c r="O14" s="43" t="str">
        <x:v>Revenue numerator not disclosed; power used for capex benchmark only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Not an operator output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20" t="str">
        <x:v>Broadcom</x:v>
      </x:c>
      <x:c r="B17" s="20" t="str">
        <x:v>VENDOR-AVGO</x:v>
      </x:c>
      <x:c r="C17" s="20" t="str">
        <x:v>Open</x:v>
      </x:c>
      <x:c r="D17" s="28"/>
      <x:c r="E17" s="30"/>
      <x:c r="F17" s="32"/>
      <x:c r="G17" s="34" t="n">
        <x:v>1000</x:v>
      </x:c>
      <x:c r="H17" s="24" t="str">
        <x:v>IT load</x:v>
      </x:c>
      <x:c r="I17" s="36" t="n">
        <x:v>1</x:v>
      </x:c>
      <x:c r="J17" s="36" t="n">
        <x:v>1</x:v>
      </x:c>
      <x:c r="K17" s="36" t="n">
        <x:v>1</x:v>
      </x:c>
      <x:c r="L17" s="36"/>
      <x:c r="M17" s="20" t="str">
        <x:v>SRC-WB-P2S-001</x:v>
      </x:c>
      <x:c r="N17" s="20" t="str">
        <x:v>VENDOR ONLY</x:v>
      </x:c>
      <x:c r="O17" s="44" t="str">
        <x:v>Custom silicon only; architecture mix required</x:v>
      </x:c>
      <x:c r="P17" s="38" t="str">
        <x:f>IF(OR(D17="",E17="",F17=""),"",D17*E17*F17)</x:f>
      </x:c>
      <x:c r="Q17" s="40" t="n">
        <x:f>IF(G17="","",IF(H17="IT load",G17,IF(H17="Facility power",IF(I17="","",G17/I17),IF(H17="Generation",IF(OR(I17="",J17="",K17=""),"",G17*J17*K17/I17),IF(H17="Effective utilized IT",G17,"")))))</x:f>
        <x:v>1000</x:v>
      </x:c>
      <x:c r="R17" s="40" t="str">
        <x:f>IF(Q17="","",IF(H17="Effective utilized IT",Q17,IF(L17="","",Q17*L17)))</x:f>
      </x:c>
      <x:c r="S17" s="42" t="str">
        <x:f>IF(OR(P17="",R17="",R17=0),"",P17/R17/1000000)</x:f>
      </x:c>
      <x:c r="T17" s="26" t="str">
        <x:f>IF(S17&lt;&gt;"","Calculated",IF(OR(N17="VENDOR ONLY",N17="CAPEX ONLY"),"Not an operator output","Missing numerator or denominator"))</x:f>
        <x:v>Not an operator output</x:v>
      </x:c>
    </x:row>
  </x:sheetData>
  <x:conditionalFormatting sqref="T5:T17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Azure or Intelligent Cloud revenue attributable to AI compute</x:v>
      </x:c>
      <x:c r="E5" s="43" t="str">
        <x:v>Average effective utilized Azure AI IT MW</x:v>
      </x:c>
      <x:c r="F5" s="43" t="str">
        <x:v>Isolate AI contribution and non-compute services</x:v>
      </x:c>
      <x:c r="G5" s="43" t="str">
        <x:v>Configured; inputs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OCI or IaaS compute revenue adjusted for customer-supplied hardware</x:v>
      </x:c>
      <x:c r="E9" s="43" t="str">
        <x:v>Average effective utilized OCI IT MW</x:v>
      </x:c>
      <x:c r="F9" s="43" t="str">
        <x:v>RPO is not period revenue; identify GPU pass-through</x:v>
      </x:c>
      <x:c r="G9" s="43" t="str">
        <x:v>Configured; inputs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non-compute services and reconstruct average MW from activation dates</x:v>
      </x:c>
      <x:c r="G10" s="43" t="str">
        <x:v>Configured; inputs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AI infrastructure revenue</x:v>
      </x:c>
      <x:c r="E11" s="43" t="str">
        <x:v>Weighted-average connected active IT MW times utilization</x:v>
      </x:c>
      <x:c r="F11" s="43" t="str">
        <x:v>Separate active reserved and planned capacity</x:v>
      </x:c>
      <x:c r="G11" s="43" t="str">
        <x:v>Configured; inputs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utilization</x:v>
      </x:c>
      <x:c r="F12" s="43" t="str">
        <x:v>Exclude Bitcoin mining revenue and mining power</x:v>
      </x:c>
      <x:c r="G12" s="43" t="str">
        <x:v>Configured; inputs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External compute revenue when disclosed</x:v>
      </x:c>
      <x:c r="E14" s="43" t="str">
        <x:v>Average effective Colossus IT MW</x:v>
      </x:c>
      <x:c r="F14" s="43" t="str">
        <x:v>Reconcile capex PP&amp;E and CIP overlap; brownfield</x:v>
      </x:c>
      <x:c r="G14" s="43" t="str">
        <x:v>Capex anchor only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20" t="str">
        <x:v>VENDOR-AVGO</x:v>
      </x:c>
      <x:c r="B17" s="20" t="str">
        <x:v>Broadcom</x:v>
      </x:c>
      <x:c r="C17" s="44" t="str">
        <x:v>Silicon vendor</x:v>
      </x:c>
      <x:c r="D17" s="44" t="str">
        <x:v>Custom accelerator and networking revenue attributable to capacity</x:v>
      </x:c>
      <x:c r="E17" s="44" t="str">
        <x:v>Deployed IT-load GW</x:v>
      </x:c>
      <x:c r="F17" s="44" t="str">
        <x:v>Preserve custom-only perimeter and architecture mix</x:v>
      </x:c>
      <x:c r="G17" s="44" t="str">
        <x:v>Configured; inputs partial</x:v>
      </x:c>
    </x:row>
  </x:sheetData>
  <x:pageMargins left="0.7" right="0.7" top="0.75" bottom="0.75" header="0.3" footer="0.3"/>
  <x:tableParts count="1">
    <x:tablePart xmlns:r="http://schemas.openxmlformats.org/officeDocument/2006/relationships" r:id="R9ba8100367fc4aed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f8afe7c2c5504bb2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20" t="str">
        <x:v>SRC-NVDA-Q2FY27-001</x:v>
      </x:c>
      <x:c r="B13" s="46" t="n">
        <x:v>46260</x:v>
      </x:c>
      <x:c r="C13" s="20" t="str">
        <x:v>NVIDIA</x:v>
      </x:c>
      <x:c r="D13" s="44" t="str">
        <x:v>Q2 FY2027 earnings call</x:v>
      </x:c>
      <x:c r="E13" s="44" t="str">
        <x:v>Transcript</x:v>
      </x:c>
      <x:c r="F13" s="44" t="str">
        <x:v>https://investor.nvidia.com/</x:v>
      </x:c>
      <x:c r="G13" s="44" t="str">
        <x:v>Hopper Blackwell and Rubin content per GW</x:v>
      </x:c>
      <x:c r="H13" s="44" t="str">
        <x:v>Primary</x:v>
      </x:c>
      <x:c r="I13" s="44" t="str">
        <x:v>Exact transcript URL to pin on refresh</x:v>
      </x:c>
    </x:row>
  </x:sheetData>
  <x:pageMargins left="0.7" right="0.7" top="0.75" bottom="0.75" header="0.3" footer="0.3"/>
  <x:tableParts count="1">
    <x:tablePart xmlns:r="http://schemas.openxmlformats.org/officeDocument/2006/relationships" r:id="R1ceb780fedb44566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