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27719a6fa44b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d64e12deed04914"/>
    <x:sheet xmlns:r="http://schemas.openxmlformats.org/officeDocument/2006/relationships" name="Company Models" sheetId="2" r:id="Ree35e0c9756943a2"/>
    <x:sheet xmlns:r="http://schemas.openxmlformats.org/officeDocument/2006/relationships" name="Methods" sheetId="3" r:id="R791fdb226e824c2f"/>
    <x:sheet xmlns:r="http://schemas.openxmlformats.org/officeDocument/2006/relationships" name="Token Economics" sheetId="4" r:id="R8f89aab5a5174e20"/>
    <x:sheet xmlns:r="http://schemas.openxmlformats.org/officeDocument/2006/relationships" name="Benchmarks" sheetId="5" r:id="Ra9a35ab754cf4648"/>
    <x:sheet xmlns:r="http://schemas.openxmlformats.org/officeDocument/2006/relationships" name="Sources" sheetId="6" r:id="R58f065f00f6a455d"/>
    <x:sheet xmlns:r="http://schemas.openxmlformats.org/officeDocument/2006/relationships" name="Read Me" sheetId="7" r:id="R1f873ac222864f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/>
    <x:border>
      <x:bottom style="thin">
        <x:color rgb="FF23415C"/>
      </x:bottom>
    </x:border>
    <x:border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bottom style="medium">
        <x:color rgb="FF23415C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ff835c7c214608" /><Relationship Type="http://schemas.openxmlformats.org/officeDocument/2006/relationships/theme" Target="/xl/theme/theme1.xml" Id="R1d652b9c8b5641b6" /><Relationship Type="http://schemas.openxmlformats.org/officeDocument/2006/relationships/sharedStrings" Target="/xl/sharedStrings.xml" Id="Rf941f12539834f16" /><Relationship Type="http://schemas.openxmlformats.org/officeDocument/2006/relationships/worksheet" Target="/xl/worksheets/sheet1.xml" Id="Rbd64e12deed04914" /><Relationship Type="http://schemas.openxmlformats.org/officeDocument/2006/relationships/worksheet" Target="/xl/worksheets/sheet2.xml" Id="Ree35e0c9756943a2" /><Relationship Type="http://schemas.openxmlformats.org/officeDocument/2006/relationships/worksheet" Target="/xl/worksheets/sheet3.xml" Id="R791fdb226e824c2f" /><Relationship Type="http://schemas.openxmlformats.org/officeDocument/2006/relationships/worksheet" Target="/xl/worksheets/sheet4.xml" Id="R8f89aab5a5174e20" /><Relationship Type="http://schemas.openxmlformats.org/officeDocument/2006/relationships/worksheet" Target="/xl/worksheets/sheet5.xml" Id="Ra9a35ab754cf4648" /><Relationship Type="http://schemas.openxmlformats.org/officeDocument/2006/relationships/worksheet" Target="/xl/worksheets/sheet6.xml" Id="R58f065f00f6a455d" /><Relationship Type="http://schemas.openxmlformats.org/officeDocument/2006/relationships/worksheet" Target="/xl/worksheets/sheet7.xml" Id="R1f873ac222864fd9" /></Relationships>
</file>

<file path=xl/tables/table1.xml><?xml version="1.0" encoding="utf-8"?>
<x:table xmlns:x="http://schemas.openxmlformats.org/spreadsheetml/2006/main" id="1" name="CompanyMethodsTable" displayName="CompanyMethodsTable" ref="A4:G17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20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29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11a2e38430743b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0e0b173d0b4485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9a664ebc5989414c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13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Models'!S5:S17)</x:f>
        <x:v>1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contracted revenue ($M / effective MW-year)</x:v>
      </x:c>
      <x:c r="B8" s="58" t="n">
        <x:f>'Company Models'!S13</x:f>
        <x:v>16.304347826086957</x:v>
      </x:c>
      <x:c r="D8" s="19" t="str">
        <x:v>Nscale / Anthropic</x:v>
      </x:c>
      <x:c r="E8" s="54" t="n">
        <x:v>16.3</x:v>
      </x:c>
      <x:c r="F8" s="54" t="n">
        <x:v>16.3</x:v>
      </x:c>
      <x:c r="G8" s="19" t="str">
        <x:v>Contracted</x:v>
      </x:c>
      <x:c r="H8" s="19" t="str">
        <x:v>Does the offtake premium persist?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IFERROR(INDEX(Methods!$C$5:$C$17,MATCH(B13,Methods!$A$5:$A$17,0)),"")</x:f>
        <x:v>Hyperscaler</x:v>
      </x:c>
      <x:c r="D13" s="19" t="str">
        <x:f>'Company Models'!N5</x:f>
        <x:v>OPEN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IFERROR(INDEX(Methods!$C$5:$C$17,MATCH(B14,Methods!$A$5:$A$17,0)),"")</x:f>
        <x:v>Hyperscaler</x:v>
      </x:c>
      <x:c r="D14" s="19" t="str">
        <x:f>'Company Models'!N6</x:f>
        <x:v>OPEN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IFERROR(INDEX(Methods!$C$5:$C$17,MATCH(B15,Methods!$A$5:$A$17,0)),"")</x:f>
        <x:v>Hyperscaler</x:v>
      </x:c>
      <x:c r="D15" s="19" t="str">
        <x:f>'Company Models'!N7</x:f>
        <x:v>OPEN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IFERROR(INDEX(Methods!$C$5:$C$17,MATCH(B16,Methods!$A$5:$A$17,0)),"")</x:f>
        <x:v>Internal compute</x:v>
      </x:c>
      <x:c r="D16" s="19" t="str">
        <x:f>'Company Models'!N8</x:f>
        <x:v>OPEN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IFERROR(INDEX(Methods!$C$5:$C$17,MATCH(B17,Methods!$A$5:$A$17,0)),"")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IFERROR(INDEX(Methods!$C$5:$C$17,MATCH(B18,Methods!$A$5:$A$17,0)),"")</x:f>
        <x:v>Neocloud</x:v>
      </x:c>
      <x:c r="D18" s="19" t="str">
        <x:f>'Company Models'!N10</x:f>
        <x:v>OPEN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IFERROR(INDEX(Methods!$C$5:$C$17,MATCH(B19,Methods!$A$5:$A$17,0)),"")</x:f>
        <x:v>Neocloud</x:v>
      </x:c>
      <x:c r="D19" s="19" t="str">
        <x:f>'Company Models'!N11</x:f>
        <x:v>OPEN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IFERROR(INDEX(Methods!$C$5:$C$17,MATCH(B20,Methods!$A$5:$A$17,0)),"")</x:f>
        <x:v>Neocloud</x:v>
      </x:c>
      <x:c r="D20" s="19" t="str">
        <x:f>'Company Models'!N12</x:f>
        <x:v>OPEN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IFERROR(INDEX(Methods!$C$5:$C$17,MATCH(B21,Methods!$A$5:$A$17,0)),"")</x:f>
        <x:v>Contracted compute</x:v>
      </x:c>
      <x:c r="D21" s="19" t="str">
        <x:f>'Company Models'!N13</x:f>
        <x:v>DERIVED</x:v>
      </x:c>
      <x:c r="E21" s="58" t="n">
        <x:f>IF('Company Models'!S13="","",'Company Models'!S13)</x:f>
        <x:v>16.304347826086957</x:v>
      </x:c>
      <x:c r="F21" s="19" t="str">
        <x:f>'Company Models'!T13</x:f>
        <x:v>Calculated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IFERROR(INDEX(Methods!$C$5:$C$17,MATCH(B22,Methods!$A$5:$A$17,0)),"")</x:f>
        <x:v>Reference operator</x:v>
      </x:c>
      <x:c r="D22" s="19" t="str">
        <x:f>'Company Models'!N14</x:f>
        <x:v>GUIDANCE ONLY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IFERROR(INDEX(Methods!$C$5:$C$17,MATCH(B23,Methods!$A$5:$A$17,0)),"")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IFERROR(INDEX(Methods!$C$5:$C$17,MATCH(B24,Methods!$A$5:$A$17,0)),"")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20" t="str">
        <x:f>'Company Models'!A17</x:f>
        <x:v>Broadcom</x:v>
      </x:c>
      <x:c r="B25" s="20" t="str">
        <x:f>'Company Models'!B17</x:f>
        <x:v>VENDOR-AVGO</x:v>
      </x:c>
      <x:c r="C25" s="20" t="str">
        <x:f>IFERROR(INDEX(Methods!$C$5:$C$17,MATCH(B25,Methods!$A$5:$A$17,0)),"")</x:f>
        <x:v>Silicon vendor</x:v>
      </x:c>
      <x:c r="D25" s="20" t="str">
        <x:f>'Company Models'!N17</x:f>
        <x:v>VENDOR ONLY</x:v>
      </x:c>
      <x:c r="E25" s="59" t="str">
        <x:f>IF('Company Models'!S17="","",'Company Models'!S17)</x:f>
      </x:c>
      <x:c r="F25" s="20" t="str">
        <x:f>'Company Models'!T17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Open</x:v>
      </x:c>
      <x:c r="D5" s="27"/>
      <x:c r="E5" s="29"/>
      <x:c r="F5" s="31"/>
      <x:c r="G5" s="33"/>
      <x:c r="H5" s="23"/>
      <x:c r="I5" s="35"/>
      <x:c r="J5" s="35"/>
      <x:c r="K5" s="35"/>
      <x:c r="L5" s="35"/>
      <x:c r="M5" s="19" t="str">
        <x:v>SRC-CHAT-001</x:v>
      </x:c>
      <x:c r="N5" s="19" t="str">
        <x:v>OPEN</x:v>
      </x:c>
      <x:c r="O5" s="43" t="str">
        <x:v>Needs matching AI revenue attribution and average AI IT MW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Open</x:v>
      </x:c>
      <x:c r="D6" s="27"/>
      <x:c r="E6" s="29"/>
      <x:c r="F6" s="31"/>
      <x:c r="G6" s="33"/>
      <x:c r="H6" s="23"/>
      <x:c r="I6" s="35"/>
      <x:c r="J6" s="35"/>
      <x:c r="K6" s="35"/>
      <x:c r="L6" s="35"/>
      <x:c r="M6" s="19" t="str">
        <x:v>SRC-CHAT-001</x:v>
      </x:c>
      <x:c r="N6" s="19" t="str">
        <x:v>OPEN</x:v>
      </x:c>
      <x:c r="O6" s="43" t="str">
        <x:v>Needs matching AI revenue attribution and average AI IT MW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Open</x:v>
      </x:c>
      <x:c r="D7" s="27"/>
      <x:c r="E7" s="29"/>
      <x:c r="F7" s="31"/>
      <x:c r="G7" s="33"/>
      <x:c r="H7" s="23"/>
      <x:c r="I7" s="35"/>
      <x:c r="J7" s="35"/>
      <x:c r="K7" s="35"/>
      <x:c r="L7" s="35"/>
      <x:c r="M7" s="19" t="str">
        <x:v>SRC-CHAT-001</x:v>
      </x:c>
      <x:c r="N7" s="19" t="str">
        <x:v>OPEN</x:v>
      </x:c>
      <x:c r="O7" s="43" t="str">
        <x:v>Needs external GCP AI numerator separate from internal TPU use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Open</x:v>
      </x:c>
      <x:c r="D8" s="27"/>
      <x:c r="E8" s="29"/>
      <x:c r="F8" s="31"/>
      <x:c r="G8" s="33"/>
      <x:c r="H8" s="23"/>
      <x:c r="I8" s="35"/>
      <x:c r="J8" s="35"/>
      <x:c r="K8" s="35"/>
      <x:c r="L8" s="35"/>
      <x:c r="M8" s="19" t="str">
        <x:v>SRC-CHAT-001</x:v>
      </x:c>
      <x:c r="N8" s="19" t="str">
        <x:v>OPEN</x:v>
      </x:c>
      <x:c r="O8" s="43" t="str">
        <x:v>Needs incremental monetization bridge; total ad revenue prohibited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Open</x:v>
      </x:c>
      <x:c r="D10" s="27"/>
      <x:c r="E10" s="29"/>
      <x:c r="F10" s="31"/>
      <x:c r="G10" s="33"/>
      <x:c r="H10" s="23"/>
      <x:c r="I10" s="35"/>
      <x:c r="J10" s="35"/>
      <x:c r="K10" s="35"/>
      <x:c r="L10" s="35"/>
      <x:c r="M10" s="19" t="str">
        <x:v>SRC-WB-CRWV-001</x:v>
      </x:c>
      <x:c r="N10" s="19" t="str">
        <x:v>OPEN</x:v>
      </x:c>
      <x:c r="O10" s="43" t="str">
        <x:v>Reconstruct period-average active MW and compute-only revenue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Open</x:v>
      </x:c>
      <x:c r="D11" s="27"/>
      <x:c r="E11" s="29"/>
      <x:c r="F11" s="31"/>
      <x:c r="G11" s="33"/>
      <x:c r="H11" s="23"/>
      <x:c r="I11" s="35"/>
      <x:c r="J11" s="35"/>
      <x:c r="K11" s="35"/>
      <x:c r="L11" s="35"/>
      <x:c r="M11" s="19" t="str">
        <x:v>SRC-CHAT-001</x:v>
      </x:c>
      <x:c r="N11" s="19" t="str">
        <x:v>OPEN</x:v>
      </x:c>
      <x:c r="O11" s="43" t="str">
        <x:v>Needs active connected MW on matching revenue period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Open</x:v>
      </x:c>
      <x:c r="D12" s="27"/>
      <x:c r="E12" s="29"/>
      <x:c r="F12" s="31"/>
      <x:c r="G12" s="33"/>
      <x:c r="H12" s="23"/>
      <x:c r="I12" s="35"/>
      <x:c r="J12" s="35"/>
      <x:c r="K12" s="35"/>
      <x:c r="L12" s="35"/>
      <x:c r="M12" s="19" t="str">
        <x:v>SRC-CHAT-001</x:v>
      </x:c>
      <x:c r="N12" s="19" t="str">
        <x:v>OPEN</x:v>
      </x:c>
      <x:c r="O12" s="43" t="str">
        <x:v>Exclude mining revenue and mining MW</x:v>
      </x:c>
      <x:c r="P12" s="37" t="str">
        <x:f>IF(OR(D12="",E12="",F12=""),"",D12*E12*F12)</x:f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2026 contract</x:v>
      </x:c>
      <x:c r="D13" s="27" t="n">
        <x:v>7500000000</x:v>
      </x:c>
      <x:c r="E13" s="29" t="n">
        <x:v>1</x:v>
      </x:c>
      <x:c r="F13" s="31" t="n">
        <x:v>1</x:v>
      </x:c>
      <x:c r="G13" s="33" t="n">
        <x:v>460</x:v>
      </x:c>
      <x:c r="H13" s="23" t="str">
        <x:v>IT load</x:v>
      </x:c>
      <x:c r="I13" s="35" t="n">
        <x:v>1</x:v>
      </x:c>
      <x:c r="J13" s="35" t="n">
        <x:v>1</x:v>
      </x:c>
      <x:c r="K13" s="35" t="n">
        <x:v>1</x:v>
      </x:c>
      <x:c r="L13" s="35" t="n">
        <x:v>1</x:v>
      </x:c>
      <x:c r="M13" s="19" t="str">
        <x:v>SRC-WB-NSCALE-001</x:v>
      </x:c>
      <x:c r="N13" s="19" t="str">
        <x:v>DERIVED</x:v>
      </x:c>
      <x:c r="O13" s="43" t="str">
        <x:v>$45B over six years divided by 460 MW contracted IT load</x:v>
      </x:c>
      <x:c r="P13" s="37" t="n">
        <x:f>IF(OR(D13="",E13="",F13=""),"",D13*E13*F13)</x:f>
        <x:v>7500000000</x:v>
      </x:c>
      <x:c r="Q13" s="39" t="n">
        <x:f>IF(G13="","",IF(H13="IT load",G13,IF(H13="Facility power",IF(I13="","",G13/I13),IF(H13="Generation",IF(OR(I13="",J13="",K13=""),"",G13*J13*K13/I13),IF(H13="Effective utilized IT",G13,"")))))</x:f>
        <x:v>460</x:v>
      </x:c>
      <x:c r="R13" s="39" t="n">
        <x:f>IF(Q13="","",IF(H13="Effective utilized IT",Q13,IF(L13="","",Q13*L13)))</x:f>
        <x:v>460</x:v>
      </x:c>
      <x:c r="S13" s="41" t="n">
        <x:f>IF(OR(P13="",R13="",R13=0),"",P13/R13/1000000)</x:f>
        <x:v>16.304347826086957</x:v>
      </x:c>
      <x:c r="T13" s="25" t="str">
        <x:f>IF(S13&lt;&gt;"","Calculated",IF(OR(N13="VENDOR ONLY",N13="CAPEX ONLY"),"Not an operator output","Missing numerator or denominator"))</x:f>
        <x:v>Calculated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GUIDANCE ONLY</x:v>
      </x:c>
      <x:c r="O14" s="43" t="str">
        <x:v>Capex power anchor only; Sep 10 guidance is $30-50B per stated GW-year; effective denominator unresolved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20" t="str">
        <x:v>Broadcom</x:v>
      </x:c>
      <x:c r="B17" s="20" t="str">
        <x:v>VENDOR-AVGO</x:v>
      </x:c>
      <x:c r="C17" s="20" t="str">
        <x:v>Open</x:v>
      </x:c>
      <x:c r="D17" s="28"/>
      <x:c r="E17" s="30"/>
      <x:c r="F17" s="32"/>
      <x:c r="G17" s="34" t="n">
        <x:v>1000</x:v>
      </x:c>
      <x:c r="H17" s="24" t="str">
        <x:v>IT load</x:v>
      </x:c>
      <x:c r="I17" s="36" t="n">
        <x:v>1</x:v>
      </x:c>
      <x:c r="J17" s="36" t="n">
        <x:v>1</x:v>
      </x:c>
      <x:c r="K17" s="36" t="n">
        <x:v>1</x:v>
      </x:c>
      <x:c r="L17" s="36"/>
      <x:c r="M17" s="20" t="str">
        <x:v>SRC-WB-P2S-001</x:v>
      </x:c>
      <x:c r="N17" s="20" t="str">
        <x:v>VENDOR ONLY</x:v>
      </x:c>
      <x:c r="O17" s="44" t="str">
        <x:v>Custom silicon only; architecture mix required</x:v>
      </x:c>
      <x:c r="P17" s="38" t="str">
        <x:f>IF(OR(D17="",E17="",F17=""),"",D17*E17*F17)</x:f>
      </x:c>
      <x:c r="Q17" s="40" t="n">
        <x:f>IF(G17="","",IF(H17="IT load",G17,IF(H17="Facility power",IF(I17="","",G17/I17),IF(H17="Generation",IF(OR(I17="",J17="",K17=""),"",G17*J17*K17/I17),IF(H17="Effective utilized IT",G17,"")))))</x:f>
        <x:v>1000</x:v>
      </x:c>
      <x:c r="R17" s="40" t="str">
        <x:f>IF(Q17="","",IF(H17="Effective utilized IT",Q17,IF(L17="","",Q17*L17)))</x:f>
      </x:c>
      <x:c r="S17" s="42" t="str">
        <x:f>IF(OR(P17="",R17="",R17=0),"",P17/R17/1000000)</x:f>
      </x:c>
      <x:c r="T17" s="26" t="str">
        <x:f>IF(S17&lt;&gt;"","Calculated",IF(OR(N17="VENDOR ONLY",N17="CAPEX ONLY"),"Not an operator output","Missing numerator or denominator"))</x:f>
        <x:v>Not an operator output</x:v>
      </x:c>
    </x:row>
  </x:sheetData>
  <x:conditionalFormatting sqref="T5:T17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Azure or Intelligent Cloud revenue attributable to AI compute</x:v>
      </x:c>
      <x:c r="E5" s="43" t="str">
        <x:v>Average effective utilized Azure AI IT MW</x:v>
      </x:c>
      <x:c r="F5" s="43" t="str">
        <x:v>Isolate AI contribution and non-compute services</x:v>
      </x:c>
      <x:c r="G5" s="43" t="str">
        <x:v>Configured; inputs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AWS revenue attributable to AI compute</x:v>
      </x:c>
      <x:c r="E6" s="43" t="str">
        <x:v>Average effective utilized AWS AI IT MW</x:v>
      </x:c>
      <x:c r="F6" s="43" t="str">
        <x:v>Separate Trainium Inferentia and third-party GPU workloads</x:v>
      </x:c>
      <x:c r="G6" s="43" t="str">
        <x:v>Configured; inputs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Google Cloud revenue attributable to AI compute</x:v>
      </x:c>
      <x:c r="E7" s="43" t="str">
        <x:v>Average effective utilized GCP AI IT MW</x:v>
      </x:c>
      <x:c r="F7" s="43" t="str">
        <x:v>Separate internal Search and YouTube from external GCP; TPU ownership</x:v>
      </x:c>
      <x:c r="G7" s="43" t="str">
        <x:v>Configured; inputs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Incremental ad or engagement revenue plus external Meta Compute revenue attributable to AI</x:v>
      </x:c>
      <x:c r="E8" s="43" t="str">
        <x:v>Average effective utilized Meta AI IT MW</x:v>
      </x:c>
      <x:c r="F8" s="43" t="str">
        <x:v>Never use total advertising revenue; keep internal and external cases separate</x:v>
      </x:c>
      <x:c r="G8" s="43" t="str">
        <x:v>Configured; inputs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non-compute services and reconstruct average MW from activation dates</x:v>
      </x:c>
      <x:c r="G10" s="43" t="str">
        <x:v>Configured; inputs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AI infrastructure revenue</x:v>
      </x:c>
      <x:c r="E11" s="43" t="str">
        <x:v>Weighted-average connected active IT MW times utilization</x:v>
      </x:c>
      <x:c r="F11" s="43" t="str">
        <x:v>Separate active reserved and planned capacity</x:v>
      </x:c>
      <x:c r="G11" s="43" t="str">
        <x:v>Configured; inputs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utilization</x:v>
      </x:c>
      <x:c r="F12" s="43" t="str">
        <x:v>Exclude Bitcoin mining revenue and mining power</x:v>
      </x:c>
      <x:c r="G12" s="43" t="str">
        <x:v>Configured; inputs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Annual contract value</x:v>
      </x:c>
      <x:c r="E13" s="43" t="str">
        <x:v>Contracted IT-load MW</x:v>
      </x:c>
      <x:c r="F13" s="43" t="str">
        <x:v>Keep contract rate separate from physical utilization</x:v>
      </x:c>
      <x:c r="G13" s="43" t="str">
        <x:v>Active anchor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Recognized external compute revenue when reconciled</x:v>
      </x:c>
      <x:c r="E14" s="43" t="str">
        <x:v>Average effective Colossus IT MW</x:v>
      </x:c>
      <x:c r="F14" s="43" t="str">
        <x:v>Retain capex benchmark; separate Sep 10 monetization guidance until power scope reconciled</x:v>
      </x:c>
      <x:c r="G14" s="43" t="str">
        <x:v>Capex anchor plus management guidance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20" t="str">
        <x:v>VENDOR-AVGO</x:v>
      </x:c>
      <x:c r="B17" s="20" t="str">
        <x:v>Broadcom</x:v>
      </x:c>
      <x:c r="C17" s="44" t="str">
        <x:v>Silicon vendor</x:v>
      </x:c>
      <x:c r="D17" s="44" t="str">
        <x:v>Custom accelerator and networking revenue attributable to capacity</x:v>
      </x:c>
      <x:c r="E17" s="44" t="str">
        <x:v>Deployed IT-load GW</x:v>
      </x:c>
      <x:c r="F17" s="44" t="str">
        <x:v>Preserve custom-only perimeter and architecture mix</x:v>
      </x:c>
      <x:c r="G17" s="44" t="str">
        <x:v>Configured; inputs partial</x:v>
      </x:c>
    </x:row>
  </x:sheetData>
  <x:pageMargins left="0.7" right="0.7" top="0.75" bottom="0.75" header="0.3" footer="0.3"/>
  <x:tableParts count="1">
    <x:tablePart xmlns:r="http://schemas.openxmlformats.org/officeDocument/2006/relationships" r:id="Rc11a2e38430743b8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n">
        <x:v>46234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n">
        <x:v>46234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n">
        <x:v>46234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n">
        <x:v>46234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n">
        <x:v>46267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n">
        <x:v>46267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n">
        <x:v>46267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n">
        <x:v>46267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n">
        <x:v>46270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n">
        <x:v>46271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n">
        <x:v>46271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n">
        <x:v>46271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n">
        <x:v>46271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n">
        <x:v>46271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n">
        <x:v>46271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6" t="n">
        <x:v>46271</x:v>
      </x:c>
      <x:c r="B20" s="20" t="str">
        <x:v>Vercel</x:v>
      </x:c>
      <x:c r="C20" s="20" t="str">
        <x:v>OpenAI spend share</x:v>
      </x:c>
      <x:c r="D20" s="48" t="n">
        <x:v>0.215</x:v>
      </x:c>
      <x:c r="E20" s="20" t="str">
        <x:v>percent</x:v>
      </x:c>
      <x:c r="F20" s="20" t="str">
        <x:v>endpoint</x:v>
      </x:c>
      <x:c r="G20" s="20" t="str">
        <x:v>SRC-TOKEN-WE-SEP06-001</x:v>
      </x:c>
      <x:c r="H20" s="20" t="str">
        <x:v>Reported</x:v>
      </x:c>
      <x:c r="I20" s="44" t="str">
        <x:v>Lab-level share</x:v>
      </x:c>
    </x:row>
  </x:sheetData>
  <x:pageMargins left="0.7" right="0.7" top="0.75" bottom="0.75" header="0.3" footer="0.3"/>
  <x:tableParts count="1">
    <x:tablePart xmlns:r="http://schemas.openxmlformats.org/officeDocument/2006/relationships" r:id="Rc0e0b173d0b44852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 t="n">
        <x:v>34.8</x:v>
      </x:c>
      <x:c r="D7" s="54" t="n">
        <x:v>17.9</x:v>
      </x:c>
      <x:c r="E7" s="54" t="n">
        <x:v>52.7</x:v>
      </x:c>
      <x:c r="F7" s="54" t="n">
        <x:v>16.3</x:v>
      </x:c>
      <x:c r="G7" s="54" t="n">
        <x:v>16.3</x:v>
      </x:c>
      <x:c r="H7" s="19" t="str">
        <x:v>SRC-WB-NSCALE-001</x:v>
      </x:c>
      <x:c r="I7" s="19" t="str">
        <x:v>Derived</x:v>
      </x:c>
      <x:c r="J7" s="43" t="str">
        <x:v>Contracted rate; 2 GW onsite gas plus batteries for 1.35 GW IT</x:v>
      </x:c>
      <x:c r="K7" s="56" t="n">
        <x:f>IF(OR(E7="",G7="",G7=0),"",E7/G7)</x:f>
        <x:v>3.233128834355828</x:v>
      </x:c>
      <x:c r="L7" s="56" t="n">
        <x:f>IF(OR(E7="",F7="",F7=0),"",E7/F7)</x:f>
        <x:v>3.233128834355828</x:v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n">
        <x:v>46273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n">
        <x:v>46269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n">
        <x:v>46260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n">
        <x:v>46247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n">
        <x:v>46245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n">
        <x:v>46267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n">
        <x:v>46271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n">
        <x:v>46253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n">
        <x:v>46260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n">
        <x:v>46275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n">
        <x:v>46275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n">
        <x:v>46275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n">
        <x:v>46275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n">
        <x:v>46195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n">
        <x:v>46092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n">
        <x:v>46185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n">
        <x:v>45838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n">
        <x:v>46276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n">
        <x:v>45860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n">
        <x:v>45923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n">
        <x:v>45798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n">
        <x:v>46092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20" t="str">
        <x:v>SRC-ORCL-Q1FY27-EVENT</x:v>
      </x:c>
      <x:c r="B29" s="46" t="n">
        <x:v>46275</x:v>
      </x:c>
      <x:c r="C29" s="20" t="str">
        <x:v>Oracle</x:v>
      </x:c>
      <x:c r="D29" s="44" t="str">
        <x:v>Q1 FY27 earnings event</x:v>
      </x:c>
      <x:c r="E29" s="44" t="str">
        <x:v>issuer_event</x:v>
      </x:c>
      <x:c r="F29" s="44" t="str">
        <x:v>https://investor.oracle.com/events-and-presentations/event-details/2026/Q1-FY27-Earnings/default.aspx</x:v>
      </x:c>
      <x:c r="G29" s="44" t="str">
        <x:v>Oracle OCI 2026-09-11 review</x:v>
      </x:c>
      <x:c r="H29" s="44" t="str">
        <x:v>metadata_read_transcript_unavailable</x:v>
      </x:c>
      <x:c r="I29" s="44" t="str">
        <x:v>Event date and webcast link; linked player returned no readable transcript</x:v>
      </x:c>
    </x:row>
  </x:sheetData>
  <x:pageMargins left="0.7" right="0.7" top="0.75" bottom="0.75" header="0.3" footer="0.3"/>
  <x:tableParts count="1">
    <x:tablePart xmlns:r="http://schemas.openxmlformats.org/officeDocument/2006/relationships" r:id="R9a664ebc5989414c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